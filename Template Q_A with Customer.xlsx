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vsd" ContentType="application/vnd.visio"/>
  <Default Extension="emf" ContentType="image/x-emf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hungnv54\Downloads\EN Market\"/>
    </mc:Choice>
  </mc:AlternateContent>
  <bookViews>
    <workbookView xWindow="0" yWindow="0" windowWidth="28800" windowHeight="12450" activeTab="1"/>
  </bookViews>
  <sheets>
    <sheet name="Guideline" sheetId="8" r:id="rId1"/>
    <sheet name="Q&amp;A Management Sheet" sheetId="3" r:id="rId2"/>
  </sheets>
  <definedNames>
    <definedName name="_xlnm._FilterDatabase" localSheetId="1" hidden="1">'Q&amp;A Management Sheet'!$A$13:$S$18</definedName>
    <definedName name="_xlnm.Print_Area" localSheetId="0">Guideline!$A$1:$L$84</definedName>
    <definedName name="_xlnm.Print_Titles" localSheetId="1">'Q&amp;A Management Sheet'!$13:$13</definedName>
    <definedName name="R_11">#REF!</definedName>
    <definedName name="R_12">#REF!</definedName>
    <definedName name="R_13">#REF!</definedName>
    <definedName name="R_14">#REF!</definedName>
    <definedName name="R_15">#REF!</definedName>
    <definedName name="R_21">#REF!</definedName>
    <definedName name="R_22">#REF!</definedName>
    <definedName name="R_23">#REF!</definedName>
    <definedName name="R_24">#REF!</definedName>
    <definedName name="R_31">#REF!</definedName>
    <definedName name="R_32">#REF!</definedName>
    <definedName name="R_33">#REF!</definedName>
    <definedName name="R_34">#REF!</definedName>
    <definedName name="R_35">#REF!</definedName>
    <definedName name="R_41">#REF!</definedName>
    <definedName name="R_42">#REF!</definedName>
    <definedName name="R_43">#REF!</definedName>
    <definedName name="R_44">#REF!</definedName>
    <definedName name="R_45">#REF!</definedName>
    <definedName name="R_46">#REF!</definedName>
    <definedName name="R_51">#REF!</definedName>
    <definedName name="R_52">#REF!</definedName>
    <definedName name="R_53">#REF!</definedName>
    <definedName name="R_54">#REF!</definedName>
    <definedName name="R_61">#REF!</definedName>
    <definedName name="R_62">#REF!</definedName>
    <definedName name="R_63">#REF!</definedName>
    <definedName name="R_71">#REF!</definedName>
    <definedName name="R_72">#REF!</definedName>
    <definedName name="R_73">#REF!</definedName>
    <definedName name="R_74">#REF!</definedName>
    <definedName name="R_75">#REF!</definedName>
    <definedName name="R_81">#REF!</definedName>
    <definedName name="R_82">#REF!</definedName>
    <definedName name="R_83">#REF!</definedName>
    <definedName name="R_84">#REF!</definedName>
    <definedName name="wrn.HCDN_全印刷." hidden="1">{"HCDN_注釈以外",#N/A,FALSE,"10.0対応";"HCDN_注釈",#N/A,FALSE,"10.0対応";"HCDN_注釈以外",#N/A,FALSE,"9.0対応";"HCDN_注釈",#N/A,FALSE,"9.0対応";#N/A,#N/A,FALSE,"ﾏﾆｭｱﾙ一覧";#N/A,#N/A,FALSE,"ﾏﾆｭｱﾙ一覧 (2)"}</definedName>
    <definedName name="wrn.構成ｶﾞｲﾄﾞ_全印刷." hidden="1">{"構成ｶﾞｲﾄﾞ_注釈以外",#N/A,FALSE,"10.0対応";"構成ｶﾞｲﾄﾞ_注釈",#N/A,FALSE,"10.0対応";"構成ｶﾞｲﾄﾞ_注釈以外",#N/A,FALSE,"9.0対応";"構成ｶﾞｲﾄﾞ_注釈",#N/A,FALSE,"9.0対応";#N/A,#N/A,FALSE,"マニュアル一覧表について";#N/A,#N/A,FALSE,"ﾏﾆｭｱﾙ一覧";#N/A,#N/A,FALSE,"ﾏﾆｭｱﾙ一覧 (2)";#N/A,#N/A,FALSE,"ﾏﾆｭｱﾙ一覧 (3)"}</definedName>
    <definedName name="Z_41442F1C_71A4_447E_AF0E_8FB51FC7D99F_.wvu.Cols" hidden="1">#REF!,#REF!,#REF!,#REF!</definedName>
    <definedName name="Z_41442F1C_71A4_447E_AF0E_8FB51FC7D99F_.wvu.PrintArea" hidden="1">#REF!</definedName>
    <definedName name="Z_95018DD7_A252_45F5_975C_C5433E2F88AC_.wvu.Cols" hidden="1">#REF!,#REF!</definedName>
    <definedName name="Z_95018DD7_A252_45F5_975C_C5433E2F88AC_.wvu.PrintArea" hidden="1">#REF!</definedName>
    <definedName name="Z_D062575E_61A0_4998_AF07_E741A5E67EFF_.wvu.Cols" hidden="1">#REF!</definedName>
    <definedName name="Z_D062575E_61A0_4998_AF07_E741A5E67EFF_.wvu.PrintArea" hidden="1">#REF!</definedName>
  </definedNames>
  <calcPr calcId="162913"/>
</workbook>
</file>

<file path=xl/calcChain.xml><?xml version="1.0" encoding="utf-8"?>
<calcChain xmlns="http://schemas.openxmlformats.org/spreadsheetml/2006/main">
  <c r="G14" i="3" l="1"/>
  <c r="D10" i="3"/>
  <c r="D9" i="3"/>
  <c r="D8" i="3"/>
  <c r="D7" i="3"/>
  <c r="D5" i="3"/>
  <c r="D11" i="3" l="1"/>
</calcChain>
</file>

<file path=xl/sharedStrings.xml><?xml version="1.0" encoding="utf-8"?>
<sst xmlns="http://schemas.openxmlformats.org/spreadsheetml/2006/main" count="64" uniqueCount="64">
  <si>
    <t>Process</t>
  </si>
  <si>
    <t>Answer</t>
  </si>
  <si>
    <t>Priority</t>
  </si>
  <si>
    <t>Status</t>
  </si>
  <si>
    <t>Created By</t>
  </si>
  <si>
    <t>Created On</t>
  </si>
  <si>
    <t>Total</t>
  </si>
  <si>
    <t>Answered On</t>
  </si>
  <si>
    <t>1. Purpose</t>
  </si>
  <si>
    <t>2. Scope</t>
  </si>
  <si>
    <t>Application to all FSOFT departments/projects</t>
  </si>
  <si>
    <t>3. Definition &amp; Criteria</t>
  </si>
  <si>
    <t>onsiter from customer side) shall be logged and tracked here.</t>
  </si>
  <si>
    <t>Project must define one person-in-charge to take care of Q&amp;A management in the project to avoid duplicate Q&amp;A</t>
  </si>
  <si>
    <t>to put for more than one question into one Q&amp;A because it may make the people confuse and miss the points.</t>
  </si>
  <si>
    <t>added to the end of the file name.</t>
  </si>
  <si>
    <t>Q&amp;A Management Table is to record and follow up the questions and answers communicated between project team</t>
  </si>
  <si>
    <t xml:space="preserve"> and the customer. All the questions/confirmation noted in emails, raised in meetings (TV meeting, meeting with </t>
  </si>
  <si>
    <t>No</t>
  </si>
  <si>
    <t>Title</t>
  </si>
  <si>
    <t>Question</t>
  </si>
  <si>
    <t>Assigned To</t>
  </si>
  <si>
    <t>Deadline</t>
  </si>
  <si>
    <t>Conclusion</t>
  </si>
  <si>
    <t>Question Type</t>
  </si>
  <si>
    <t>Notes</t>
  </si>
  <si>
    <r>
      <t>Requirement</t>
    </r>
    <r>
      <rPr>
        <sz val="10"/>
        <rFont val="Arial"/>
        <family val="2"/>
      </rPr>
      <t>: questions on user requirements, Functional specification or GUI prototype</t>
    </r>
  </si>
  <si>
    <r>
      <t>Design</t>
    </r>
    <r>
      <rPr>
        <sz val="10"/>
        <rFont val="Arial"/>
        <family val="2"/>
      </rPr>
      <t>: questions on design, system architecture, detail designs</t>
    </r>
  </si>
  <si>
    <r>
      <t>Coding</t>
    </r>
    <r>
      <rPr>
        <sz val="10"/>
        <rFont val="Arial"/>
        <family val="2"/>
      </rPr>
      <t>: questions on coding, coding convention, coding techniques</t>
    </r>
  </si>
  <si>
    <r>
      <t xml:space="preserve">Project management: </t>
    </r>
    <r>
      <rPr>
        <sz val="10"/>
        <rFont val="Arial"/>
        <family val="2"/>
      </rPr>
      <t>questions on project scope, acceptance criteria, schedule, effort change, working procedures, etc…</t>
    </r>
  </si>
  <si>
    <r>
      <t>Answer</t>
    </r>
    <r>
      <rPr>
        <b/>
        <sz val="10"/>
        <rFont val="Arial"/>
        <family val="2"/>
      </rPr>
      <t xml:space="preserve"> </t>
    </r>
    <r>
      <rPr>
        <sz val="10"/>
        <rFont val="Arial"/>
        <family val="2"/>
      </rPr>
      <t>is the response to the question. If there is further discussion, use the same rules as specified for Question</t>
    </r>
  </si>
  <si>
    <r>
      <t>Created By</t>
    </r>
    <r>
      <rPr>
        <sz val="10"/>
        <rFont val="Arial"/>
        <family val="2"/>
      </rPr>
      <t xml:space="preserve"> - The person who asks the question</t>
    </r>
  </si>
  <si>
    <r>
      <t>Assigned to</t>
    </r>
    <r>
      <rPr>
        <sz val="10"/>
        <rFont val="Arial"/>
        <family val="2"/>
      </rPr>
      <t xml:space="preserve"> - The person who's in charge of answering the question. Filled in by the customer</t>
    </r>
  </si>
  <si>
    <r>
      <t>Priority</t>
    </r>
    <r>
      <rPr>
        <sz val="10"/>
        <rFont val="Arial"/>
        <family val="2"/>
      </rPr>
      <t xml:space="preserve"> 
</t>
    </r>
    <r>
      <rPr>
        <b/>
        <sz val="10"/>
        <rFont val="Arial"/>
        <family val="2"/>
      </rPr>
      <t xml:space="preserve">              High</t>
    </r>
    <r>
      <rPr>
        <sz val="10"/>
        <rFont val="Arial"/>
        <family val="2"/>
      </rPr>
      <t xml:space="preserve"> - if it blocks the work.
</t>
    </r>
    <r>
      <rPr>
        <b/>
        <sz val="10"/>
        <rFont val="Arial"/>
        <family val="2"/>
      </rPr>
      <t xml:space="preserve">              Medium</t>
    </r>
    <r>
      <rPr>
        <sz val="10"/>
        <rFont val="Arial"/>
        <family val="2"/>
      </rPr>
      <t xml:space="preserve"> - if an answer is needed within 2-4 days.
</t>
    </r>
    <r>
      <rPr>
        <b/>
        <sz val="10"/>
        <rFont val="Arial"/>
        <family val="2"/>
      </rPr>
      <t xml:space="preserve">              Low</t>
    </r>
    <r>
      <rPr>
        <sz val="10"/>
        <rFont val="Arial"/>
        <family val="2"/>
      </rPr>
      <t xml:space="preserve"> - Cosmetic question</t>
    </r>
  </si>
  <si>
    <r>
      <t xml:space="preserve">Status 
</t>
    </r>
    <r>
      <rPr>
        <sz val="10"/>
        <rFont val="Arial"/>
        <family val="2"/>
      </rPr>
      <t xml:space="preserve">              </t>
    </r>
    <r>
      <rPr>
        <b/>
        <sz val="10"/>
        <rFont val="Arial"/>
        <family val="2"/>
      </rPr>
      <t>Open</t>
    </r>
    <r>
      <rPr>
        <sz val="10"/>
        <rFont val="Arial"/>
        <family val="2"/>
      </rPr>
      <t xml:space="preserve">: The question has not been answered 
</t>
    </r>
    <r>
      <rPr>
        <b/>
        <sz val="10"/>
        <rFont val="Arial"/>
        <family val="2"/>
      </rPr>
      <t xml:space="preserve">              Closed</t>
    </r>
    <r>
      <rPr>
        <sz val="10"/>
        <rFont val="Arial"/>
        <family val="2"/>
      </rPr>
      <t xml:space="preserve">: The question is satisfactorily answered
              </t>
    </r>
    <r>
      <rPr>
        <b/>
        <sz val="10"/>
        <rFont val="Arial"/>
        <family val="2"/>
      </rPr>
      <t>Canceled</t>
    </r>
    <r>
      <rPr>
        <sz val="10"/>
        <rFont val="Arial"/>
        <family val="2"/>
      </rPr>
      <t xml:space="preserve">: Question is canceled
</t>
    </r>
    <r>
      <rPr>
        <b/>
        <sz val="10"/>
        <rFont val="Arial"/>
        <family val="2"/>
      </rPr>
      <t xml:space="preserve">              In progress</t>
    </r>
    <r>
      <rPr>
        <sz val="10"/>
        <rFont val="Arial"/>
        <family val="2"/>
      </rPr>
      <t>: the answer is available but not fully satisfied</t>
    </r>
  </si>
  <si>
    <r>
      <t>Created On</t>
    </r>
    <r>
      <rPr>
        <sz val="10"/>
        <rFont val="Arial"/>
        <family val="2"/>
      </rPr>
      <t xml:space="preserve"> - Date on which the question is raised. Filled in by FPT</t>
    </r>
  </si>
  <si>
    <r>
      <t>Answered on</t>
    </r>
    <r>
      <rPr>
        <sz val="10"/>
        <rFont val="Arial"/>
        <family val="2"/>
      </rPr>
      <t xml:space="preserve"> - The date on which the question is actually answer, expected to be filled by the customer</t>
    </r>
  </si>
  <si>
    <r>
      <t xml:space="preserve">Conclusion </t>
    </r>
    <r>
      <rPr>
        <sz val="10"/>
        <rFont val="Arial"/>
        <family val="2"/>
      </rPr>
      <t>- a place for a conclusion. Conclusion must be more specific/detail and clear to understand about what FPT understands finally and what FPT will do.</t>
    </r>
  </si>
  <si>
    <r>
      <t>Test</t>
    </r>
    <r>
      <rPr>
        <sz val="10"/>
        <rFont val="Arial"/>
        <family val="2"/>
      </rPr>
      <t>: questions on Test point of view, Test cases, Test plan, Test report, Test data, etc.</t>
    </r>
  </si>
  <si>
    <t>Reference</t>
  </si>
  <si>
    <r>
      <t xml:space="preserve">Question </t>
    </r>
    <r>
      <rPr>
        <sz val="10"/>
        <rFont val="Arial"/>
        <family val="2"/>
      </rPr>
      <t xml:space="preserve">is Content of the question. If there is a feedback or further clarification about the same question, use the following format: </t>
    </r>
    <r>
      <rPr>
        <i/>
        <u/>
        <sz val="10"/>
        <rFont val="Arial"/>
        <family val="2"/>
      </rPr>
      <t>[yyyy/MM/dd FPT/Customer Name/PersonName Add]</t>
    </r>
    <r>
      <rPr>
        <sz val="10"/>
        <rFont val="Arial"/>
        <family val="2"/>
      </rPr>
      <t xml:space="preserve">
                   For example:
                            We don't understand XYZ.
                            [2006/12/19 FPT add]
                            Following your suggestion, we still cannot...
Note that the latest addition is in red so that the involved parties can easily notice it.</t>
    </r>
  </si>
  <si>
    <r>
      <t>Question Type</t>
    </r>
    <r>
      <rPr>
        <sz val="10"/>
        <rFont val="Arial"/>
        <family val="2"/>
      </rPr>
      <t xml:space="preserve"> - Type of the question:
               </t>
    </r>
    <r>
      <rPr>
        <b/>
        <sz val="10"/>
        <rFont val="Arial"/>
        <family val="2"/>
      </rPr>
      <t>Clarification</t>
    </r>
    <r>
      <rPr>
        <sz val="10"/>
        <rFont val="Arial"/>
        <family val="2"/>
      </rPr>
      <t xml:space="preserve"> - Ask for explanation about points/issues FPT don't fully understand
</t>
    </r>
    <r>
      <rPr>
        <b/>
        <sz val="10"/>
        <rFont val="Arial"/>
        <family val="2"/>
      </rPr>
      <t xml:space="preserve">               Confirmation</t>
    </r>
    <r>
      <rPr>
        <sz val="10"/>
        <rFont val="Arial"/>
        <family val="2"/>
      </rPr>
      <t xml:space="preserve"> - Ask the customer to confirm a solution proposed by FPT
   </t>
    </r>
    <r>
      <rPr>
        <b/>
        <sz val="10"/>
        <rFont val="Arial"/>
        <family val="2"/>
      </rPr>
      <t xml:space="preserve">            Customer Defect</t>
    </r>
    <r>
      <rPr>
        <sz val="10"/>
        <rFont val="Arial"/>
        <family val="2"/>
      </rPr>
      <t xml:space="preserve"> - The issue referred by the question is a customer's defect.</t>
    </r>
  </si>
  <si>
    <t xml:space="preserve">or unnecessary clarification at the beginning of project. Normally; this is project PTL/PM. It is recommended not </t>
  </si>
  <si>
    <t xml:space="preserve">If the file's size is too big, it could be separated into several files. In that case, a sequential number (01, 02, etc.) is </t>
  </si>
  <si>
    <r>
      <t>Deployment</t>
    </r>
    <r>
      <rPr>
        <sz val="10"/>
        <rFont val="Arial"/>
        <family val="2"/>
      </rPr>
      <t>: questions on deployment, deployment environments, installation, etc</t>
    </r>
  </si>
  <si>
    <t>Last updated date</t>
  </si>
  <si>
    <t>Q&amp;A Manager:</t>
  </si>
  <si>
    <t>No of Open items</t>
  </si>
  <si>
    <t>No of In progress items</t>
  </si>
  <si>
    <t>No of Closed items</t>
  </si>
  <si>
    <t>No of Cancelled items</t>
  </si>
  <si>
    <r>
      <t>No.</t>
    </r>
    <r>
      <rPr>
        <sz val="10"/>
        <rFont val="Arial"/>
        <family val="2"/>
      </rPr>
      <t xml:space="preserve"> is the number of the question</t>
    </r>
  </si>
  <si>
    <r>
      <t>Process</t>
    </r>
    <r>
      <rPr>
        <sz val="10"/>
        <rFont val="Arial"/>
        <family val="2"/>
      </rPr>
      <t xml:space="preserve"> specifies process/activities for which the question raised. This category could be customized by projects to fit their need. In normal case, it contains:</t>
    </r>
  </si>
  <si>
    <r>
      <t>Deadline</t>
    </r>
    <r>
      <rPr>
        <sz val="10"/>
        <rFont val="Arial"/>
        <family val="2"/>
      </rPr>
      <t xml:space="preserve"> - The date expected to receive the answers for the question</t>
    </r>
  </si>
  <si>
    <t>Q&amp;A Management Sheet</t>
  </si>
  <si>
    <t>GUIDELINE OF Q&amp;A MANAGEMENT SHEET</t>
  </si>
  <si>
    <t>Open</t>
  </si>
  <si>
    <t>High</t>
  </si>
  <si>
    <t>Requirement</t>
  </si>
  <si>
    <t>Confirmation</t>
  </si>
  <si>
    <t>Project Name:</t>
  </si>
  <si>
    <t>Object  Name</t>
  </si>
  <si>
    <t>Next Action</t>
  </si>
  <si>
    <t>4. Procedure of Q&amp;A Management( Q&amp;A between Project team and BA can be proceeded 2 times per day at 9AM and 1PM)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</si>
</sst>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6">
    <numFmt numFmtId="164" formatCode="&quot;¥&quot;#,##0;[Red]&quot;¥&quot;\-#,##0"/>
    <numFmt numFmtId="165" formatCode="&quot;¥&quot;#,##0.00;[Red]&quot;¥&quot;\-#,##0.00"/>
    <numFmt numFmtId="166" formatCode="#,##0_ "/>
    <numFmt numFmtId="167" formatCode="#,##0;[Red]#,##0"/>
    <numFmt numFmtId="168" formatCode="mmmm\ d\,\ yyyy"/>
    <numFmt numFmtId="169" formatCode="[$-409]d/mmm/yy;@"/>
  </numFmts>
  <fonts count="22">
    <font>
      <sz val="10"/>
      <name val="Arial"/>
      <family val="2"/>
    </font>
    <font>
      <b/>
      <sz val="10"/>
      <name val="Arial"/>
      <family val="2"/>
    </font>
    <font>
      <u/>
      <sz val="10"/>
      <color indexed="12"/>
      <name val="Arial"/>
      <family val="2"/>
    </font>
    <font>
      <sz val="11"/>
      <name val="ＭＳ Ｐゴシック"/>
      <family val="3"/>
      <charset val="128"/>
    </font>
    <font>
      <sz val="10.5"/>
      <name val="ＭＳ Ｐゴシック"/>
      <family val="3"/>
      <charset val="128"/>
    </font>
    <font>
      <b/>
      <sz val="12"/>
      <name val="Arial"/>
      <family val="2"/>
    </font>
    <font>
      <sz val="10"/>
      <name val="ＭＳ ゴシック"/>
      <family val="3"/>
      <charset val="128"/>
    </font>
    <font>
      <sz val="11"/>
      <name val="ＭＳ Ｐ明朝"/>
      <family val="1"/>
      <charset val="128"/>
    </font>
    <font>
      <sz val="10"/>
      <name val="Arial"/>
    </font>
    <font>
      <b/>
      <sz val="10"/>
      <color indexed="12"/>
      <name val="Arial"/>
      <family val="2"/>
    </font>
    <font>
      <b/>
      <sz val="14"/>
      <color indexed="56"/>
      <name val="Arial"/>
      <family val="2"/>
    </font>
    <font>
      <sz val="10"/>
      <name val="Arial"/>
      <family val="2"/>
    </font>
    <font>
      <b/>
      <sz val="14"/>
      <name val="Arial"/>
      <family val="2"/>
    </font>
    <font>
      <sz val="10"/>
      <name val="Arial"/>
      <family val="2"/>
    </font>
    <font>
      <sz val="14"/>
      <name val="Arial"/>
      <family val="2"/>
    </font>
    <font>
      <i/>
      <u/>
      <sz val="10"/>
      <name val="Arial"/>
      <family val="2"/>
    </font>
    <font>
      <sz val="9"/>
      <name val="Arial"/>
      <family val="2"/>
    </font>
    <font>
      <sz val="10"/>
      <name val="Arial"/>
      <family val="2"/>
    </font>
    <font>
      <b/>
      <sz val="9"/>
      <color indexed="9"/>
      <name val="Arial"/>
      <family val="2"/>
    </font>
    <font>
      <u/>
      <sz val="9"/>
      <color indexed="12"/>
      <name val="Arial"/>
      <family val="2"/>
    </font>
    <font>
      <b/>
      <sz val="11"/>
      <name val="Arial"/>
      <family val="2"/>
    </font>
    <font>
      <b/>
      <sz val="9"/>
      <color rgb="FF0070C0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indexed="43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indexed="18"/>
        <bgColor indexed="64"/>
      </patternFill>
    </fill>
    <fill>
      <patternFill patternType="solid">
        <fgColor indexed="22"/>
        <bgColor indexed="64"/>
      </patternFill>
    </fill>
  </fills>
  <borders count="15">
    <border>
      <left/>
      <right/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hair">
        <color indexed="23"/>
      </left>
      <right style="hair">
        <color indexed="23"/>
      </right>
      <top style="hair">
        <color indexed="23"/>
      </top>
      <bottom style="hair">
        <color indexed="23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hair">
        <color indexed="23"/>
      </left>
      <right/>
      <top style="hair">
        <color indexed="23"/>
      </top>
      <bottom style="hair">
        <color indexed="23"/>
      </bottom>
      <diagonal/>
    </border>
    <border>
      <left/>
      <right style="hair">
        <color indexed="23"/>
      </right>
      <top style="hair">
        <color indexed="23"/>
      </top>
      <bottom style="hair">
        <color indexed="23"/>
      </bottom>
      <diagonal/>
    </border>
  </borders>
  <cellStyleXfs count="11">
    <xf numFmtId="0" fontId="0" fillId="0" borderId="0"/>
    <xf numFmtId="164" fontId="3" fillId="0" borderId="0" applyFont="0" applyFill="0" applyBorder="0" applyAlignment="0" applyProtection="0"/>
    <xf numFmtId="167" fontId="4" fillId="0" borderId="0" applyFill="0" applyBorder="0" applyAlignment="0"/>
    <xf numFmtId="0" fontId="5" fillId="0" borderId="1" applyNumberFormat="0" applyAlignment="0" applyProtection="0">
      <alignment horizontal="left" vertical="center"/>
    </xf>
    <xf numFmtId="0" fontId="5" fillId="0" borderId="2">
      <alignment horizontal="left" vertical="center"/>
    </xf>
    <xf numFmtId="0" fontId="2" fillId="0" borderId="0" applyNumberFormat="0" applyFill="0" applyBorder="0" applyAlignment="0" applyProtection="0">
      <alignment vertical="top"/>
      <protection locked="0"/>
    </xf>
    <xf numFmtId="0" fontId="8" fillId="0" borderId="0"/>
    <xf numFmtId="0" fontId="3" fillId="0" borderId="0"/>
    <xf numFmtId="0" fontId="3" fillId="0" borderId="0">
      <alignment vertical="center"/>
    </xf>
    <xf numFmtId="166" fontId="7" fillId="2" borderId="3">
      <alignment horizontal="left" vertical="top" wrapText="1"/>
    </xf>
    <xf numFmtId="165" fontId="6" fillId="0" borderId="0" applyFont="0" applyFill="0" applyBorder="0" applyAlignment="0" applyProtection="0"/>
  </cellStyleXfs>
  <cellXfs count="96">
    <xf numFmtId="0" fontId="0" fillId="0" borderId="0" xfId="0"/>
    <xf numFmtId="0" fontId="12" fillId="0" borderId="0" xfId="0" applyFont="1" applyFill="1" applyAlignment="1"/>
    <xf numFmtId="0" fontId="10" fillId="0" borderId="0" xfId="0" applyFont="1" applyFill="1" applyAlignment="1"/>
    <xf numFmtId="168" fontId="10" fillId="0" borderId="0" xfId="0" applyNumberFormat="1" applyFont="1" applyFill="1" applyAlignment="1"/>
    <xf numFmtId="0" fontId="11" fillId="0" borderId="0" xfId="0" applyFont="1" applyFill="1" applyAlignment="1"/>
    <xf numFmtId="168" fontId="12" fillId="0" borderId="0" xfId="0" applyNumberFormat="1" applyFont="1" applyFill="1" applyAlignment="1"/>
    <xf numFmtId="0" fontId="13" fillId="0" borderId="0" xfId="0" applyFont="1" applyFill="1" applyAlignment="1"/>
    <xf numFmtId="0" fontId="13" fillId="0" borderId="0" xfId="0" applyFont="1" applyFill="1" applyAlignment="1">
      <alignment wrapText="1"/>
    </xf>
    <xf numFmtId="0" fontId="13" fillId="0" borderId="0" xfId="0" applyFont="1" applyFill="1" applyBorder="1" applyAlignment="1"/>
    <xf numFmtId="0" fontId="13" fillId="0" borderId="0" xfId="0" applyFont="1" applyBorder="1" applyAlignment="1">
      <alignment horizontal="left" wrapText="1"/>
    </xf>
    <xf numFmtId="0" fontId="11" fillId="0" borderId="0" xfId="0" applyFont="1" applyBorder="1" applyAlignment="1">
      <alignment horizontal="left" wrapText="1"/>
    </xf>
    <xf numFmtId="0" fontId="11" fillId="0" borderId="0" xfId="0" applyFont="1" applyAlignment="1">
      <alignment horizontal="left" wrapText="1"/>
    </xf>
    <xf numFmtId="0" fontId="13" fillId="0" borderId="0" xfId="0" applyFont="1" applyFill="1"/>
    <xf numFmtId="0" fontId="12" fillId="0" borderId="0" xfId="0" applyFont="1" applyFill="1"/>
    <xf numFmtId="0" fontId="13" fillId="0" borderId="4" xfId="6" applyFont="1" applyFill="1" applyBorder="1"/>
    <xf numFmtId="0" fontId="1" fillId="0" borderId="0" xfId="6" applyFont="1" applyFill="1" applyBorder="1" applyAlignment="1">
      <alignment vertical="center"/>
    </xf>
    <xf numFmtId="0" fontId="11" fillId="0" borderId="0" xfId="6" applyFont="1" applyFill="1" applyBorder="1"/>
    <xf numFmtId="0" fontId="11" fillId="0" borderId="5" xfId="6" applyFont="1" applyFill="1" applyBorder="1"/>
    <xf numFmtId="0" fontId="11" fillId="0" borderId="0" xfId="6" applyFont="1" applyFill="1"/>
    <xf numFmtId="0" fontId="11" fillId="0" borderId="4" xfId="6" applyFont="1" applyFill="1" applyBorder="1"/>
    <xf numFmtId="0" fontId="11" fillId="0" borderId="0" xfId="6" applyFont="1" applyFill="1" applyBorder="1" applyAlignment="1"/>
    <xf numFmtId="0" fontId="1" fillId="0" borderId="4" xfId="0" applyFont="1" applyFill="1" applyBorder="1"/>
    <xf numFmtId="0" fontId="1" fillId="0" borderId="0" xfId="0" applyFont="1" applyFill="1" applyBorder="1"/>
    <xf numFmtId="0" fontId="11" fillId="0" borderId="0" xfId="0" applyFont="1" applyFill="1" applyBorder="1" applyAlignment="1">
      <alignment horizontal="right"/>
    </xf>
    <xf numFmtId="0" fontId="11" fillId="0" borderId="0" xfId="0" applyFont="1" applyFill="1" applyBorder="1"/>
    <xf numFmtId="0" fontId="9" fillId="0" borderId="0" xfId="0" applyFont="1" applyFill="1" applyBorder="1" applyAlignment="1">
      <alignment horizontal="left" vertical="center" wrapText="1"/>
    </xf>
    <xf numFmtId="0" fontId="9" fillId="0" borderId="0" xfId="0" applyFont="1" applyFill="1" applyBorder="1" applyAlignment="1">
      <alignment horizontal="left" vertical="center"/>
    </xf>
    <xf numFmtId="0" fontId="11" fillId="0" borderId="5" xfId="0" applyFont="1" applyFill="1" applyBorder="1"/>
    <xf numFmtId="0" fontId="11" fillId="0" borderId="0" xfId="0" applyFont="1" applyFill="1"/>
    <xf numFmtId="0" fontId="11" fillId="0" borderId="0" xfId="6" applyNumberFormat="1" applyFont="1" applyFill="1" applyBorder="1" applyAlignment="1"/>
    <xf numFmtId="0" fontId="14" fillId="0" borderId="4" xfId="0" applyFont="1" applyFill="1" applyBorder="1" applyAlignment="1">
      <alignment horizontal="centerContinuous" vertical="center"/>
    </xf>
    <xf numFmtId="0" fontId="1" fillId="0" borderId="0" xfId="0" applyFont="1" applyFill="1" applyBorder="1" applyAlignment="1">
      <alignment horizontal="left" vertical="center"/>
    </xf>
    <xf numFmtId="0" fontId="11" fillId="0" borderId="0" xfId="0" applyFont="1" applyFill="1" applyBorder="1" applyAlignment="1">
      <alignment vertical="center"/>
    </xf>
    <xf numFmtId="0" fontId="1" fillId="0" borderId="0" xfId="0" applyFont="1" applyFill="1" applyBorder="1" applyAlignment="1">
      <alignment vertical="top"/>
    </xf>
    <xf numFmtId="0" fontId="11" fillId="0" borderId="0" xfId="0" applyFont="1" applyFill="1" applyBorder="1" applyAlignment="1">
      <alignment horizontal="right" vertical="top"/>
    </xf>
    <xf numFmtId="0" fontId="1" fillId="0" borderId="4" xfId="6" applyFont="1" applyFill="1" applyBorder="1"/>
    <xf numFmtId="0" fontId="1" fillId="0" borderId="0" xfId="6" applyFont="1" applyFill="1" applyBorder="1"/>
    <xf numFmtId="0" fontId="17" fillId="0" borderId="6" xfId="6" applyFont="1" applyFill="1" applyBorder="1"/>
    <xf numFmtId="0" fontId="17" fillId="0" borderId="7" xfId="6" applyFont="1" applyFill="1" applyBorder="1"/>
    <xf numFmtId="0" fontId="17" fillId="0" borderId="0" xfId="6" applyFont="1" applyFill="1"/>
    <xf numFmtId="0" fontId="1" fillId="3" borderId="0" xfId="0" applyFont="1" applyFill="1" applyBorder="1" applyAlignment="1">
      <alignment horizontal="left"/>
    </xf>
    <xf numFmtId="0" fontId="18" fillId="4" borderId="8" xfId="0" applyFont="1" applyFill="1" applyBorder="1" applyAlignment="1">
      <alignment horizontal="left" vertical="top" wrapText="1"/>
    </xf>
    <xf numFmtId="0" fontId="16" fillId="0" borderId="0" xfId="0" applyFont="1" applyAlignment="1">
      <alignment horizontal="left" vertical="top" wrapText="1"/>
    </xf>
    <xf numFmtId="0" fontId="11" fillId="0" borderId="8" xfId="0" applyFont="1" applyFill="1" applyBorder="1" applyAlignment="1">
      <alignment vertical="top" wrapText="1"/>
    </xf>
    <xf numFmtId="0" fontId="16" fillId="0" borderId="8" xfId="0" applyFont="1" applyFill="1" applyBorder="1" applyAlignment="1">
      <alignment vertical="top" wrapText="1"/>
    </xf>
    <xf numFmtId="0" fontId="16" fillId="0" borderId="8" xfId="0" applyFont="1" applyFill="1" applyBorder="1" applyAlignment="1">
      <alignment horizontal="left" vertical="top" wrapText="1"/>
    </xf>
    <xf numFmtId="0" fontId="19" fillId="0" borderId="8" xfId="5" applyFont="1" applyFill="1" applyBorder="1" applyAlignment="1" applyProtection="1">
      <alignment horizontal="left" vertical="top" wrapText="1"/>
    </xf>
    <xf numFmtId="0" fontId="16" fillId="0" borderId="0" xfId="0" applyFont="1" applyAlignment="1">
      <alignment vertical="top"/>
    </xf>
    <xf numFmtId="169" fontId="11" fillId="0" borderId="0" xfId="0" applyNumberFormat="1" applyFont="1" applyFill="1" applyAlignment="1">
      <alignment horizontal="left"/>
    </xf>
    <xf numFmtId="169" fontId="13" fillId="0" borderId="0" xfId="0" applyNumberFormat="1" applyFont="1" applyFill="1" applyAlignment="1">
      <alignment horizontal="left"/>
    </xf>
    <xf numFmtId="169" fontId="13" fillId="0" borderId="0" xfId="0" applyNumberFormat="1" applyFont="1" applyBorder="1" applyAlignment="1">
      <alignment horizontal="left" wrapText="1"/>
    </xf>
    <xf numFmtId="169" fontId="11" fillId="0" borderId="0" xfId="0" applyNumberFormat="1" applyFont="1" applyBorder="1" applyAlignment="1">
      <alignment horizontal="left" wrapText="1"/>
    </xf>
    <xf numFmtId="169" fontId="18" fillId="4" borderId="8" xfId="0" applyNumberFormat="1" applyFont="1" applyFill="1" applyBorder="1" applyAlignment="1">
      <alignment horizontal="left" vertical="top" wrapText="1"/>
    </xf>
    <xf numFmtId="169" fontId="16" fillId="0" borderId="8" xfId="0" applyNumberFormat="1" applyFont="1" applyFill="1" applyBorder="1" applyAlignment="1">
      <alignment horizontal="left" vertical="top" wrapText="1"/>
    </xf>
    <xf numFmtId="169" fontId="11" fillId="0" borderId="0" xfId="0" applyNumberFormat="1" applyFont="1" applyAlignment="1">
      <alignment horizontal="left" wrapText="1"/>
    </xf>
    <xf numFmtId="169" fontId="13" fillId="0" borderId="0" xfId="0" applyNumberFormat="1" applyFont="1" applyFill="1" applyBorder="1" applyAlignment="1"/>
    <xf numFmtId="0" fontId="13" fillId="0" borderId="0" xfId="0" applyFont="1" applyBorder="1" applyAlignment="1">
      <alignment horizontal="right" wrapText="1"/>
    </xf>
    <xf numFmtId="0" fontId="1" fillId="0" borderId="0" xfId="0" applyFont="1" applyBorder="1" applyAlignment="1">
      <alignment horizontal="right" wrapText="1"/>
    </xf>
    <xf numFmtId="0" fontId="13" fillId="2" borderId="0" xfId="0" applyFont="1" applyFill="1" applyBorder="1" applyAlignment="1">
      <alignment horizontal="left"/>
    </xf>
    <xf numFmtId="0" fontId="13" fillId="0" borderId="0" xfId="0" applyFont="1" applyFill="1" applyBorder="1" applyAlignment="1">
      <alignment horizontal="left"/>
    </xf>
    <xf numFmtId="0" fontId="13" fillId="5" borderId="0" xfId="0" applyFont="1" applyFill="1" applyBorder="1" applyAlignment="1">
      <alignment horizontal="left"/>
    </xf>
    <xf numFmtId="0" fontId="1" fillId="0" borderId="0" xfId="0" applyFont="1" applyFill="1" applyBorder="1" applyAlignment="1">
      <alignment vertical="center"/>
    </xf>
    <xf numFmtId="0" fontId="17" fillId="0" borderId="0" xfId="6" applyFont="1" applyFill="1" applyBorder="1"/>
    <xf numFmtId="0" fontId="17" fillId="0" borderId="5" xfId="6" applyFont="1" applyFill="1" applyBorder="1"/>
    <xf numFmtId="0" fontId="1" fillId="0" borderId="4" xfId="0" applyFont="1" applyFill="1" applyBorder="1" applyAlignment="1">
      <alignment vertical="center"/>
    </xf>
    <xf numFmtId="0" fontId="17" fillId="0" borderId="4" xfId="6" applyFont="1" applyFill="1" applyBorder="1"/>
    <xf numFmtId="0" fontId="17" fillId="0" borderId="9" xfId="6" applyFont="1" applyFill="1" applyBorder="1"/>
    <xf numFmtId="0" fontId="21" fillId="0" borderId="8" xfId="0" applyFont="1" applyFill="1" applyBorder="1" applyAlignment="1">
      <alignment vertical="top" wrapText="1"/>
    </xf>
    <xf numFmtId="0" fontId="20" fillId="0" borderId="0" xfId="0" applyFont="1" applyFill="1" applyAlignment="1"/>
    <xf numFmtId="0" fontId="1" fillId="0" borderId="0" xfId="0" applyFont="1" applyFill="1" applyAlignment="1"/>
    <xf numFmtId="0" fontId="11" fillId="0" borderId="8" xfId="0" applyFont="1" applyFill="1" applyBorder="1" applyAlignment="1">
      <alignment wrapText="1"/>
    </xf>
    <xf numFmtId="0" fontId="16" fillId="0" borderId="8" xfId="0" applyFont="1" applyFill="1" applyBorder="1" applyAlignment="1">
      <alignment horizontal="left" wrapText="1"/>
    </xf>
    <xf numFmtId="0" fontId="16" fillId="0" borderId="8" xfId="0" applyFont="1" applyFill="1" applyBorder="1" applyAlignment="1">
      <alignment wrapText="1"/>
    </xf>
    <xf numFmtId="169" fontId="16" fillId="0" borderId="8" xfId="0" applyNumberFormat="1" applyFont="1" applyFill="1" applyBorder="1" applyAlignment="1">
      <alignment horizontal="left" wrapText="1"/>
    </xf>
    <xf numFmtId="0" fontId="19" fillId="0" borderId="8" xfId="5" applyFont="1" applyFill="1" applyBorder="1" applyAlignment="1" applyProtection="1">
      <alignment horizontal="left" wrapText="1"/>
    </xf>
    <xf numFmtId="0" fontId="16" fillId="0" borderId="0" xfId="0" applyFont="1" applyAlignment="1"/>
    <xf numFmtId="0" fontId="0" fillId="0" borderId="0" xfId="0" applyFont="1" applyFill="1" applyAlignment="1">
      <alignment wrapText="1"/>
    </xf>
    <xf numFmtId="0" fontId="11" fillId="0" borderId="13" xfId="0" applyFont="1" applyFill="1" applyBorder="1" applyAlignment="1">
      <alignment wrapText="1"/>
    </xf>
    <xf numFmtId="0" fontId="11" fillId="0" borderId="13" xfId="0" applyFont="1" applyFill="1" applyBorder="1" applyAlignment="1">
      <alignment vertical="top" wrapText="1"/>
    </xf>
    <xf numFmtId="0" fontId="16" fillId="0" borderId="13" xfId="0" applyFont="1" applyFill="1" applyBorder="1" applyAlignment="1">
      <alignment horizontal="left" vertical="top" wrapText="1"/>
    </xf>
    <xf numFmtId="0" fontId="16" fillId="0" borderId="14" xfId="0" applyFont="1" applyFill="1" applyBorder="1" applyAlignment="1">
      <alignment horizontal="left" vertical="top" wrapText="1"/>
    </xf>
    <xf numFmtId="0" fontId="12" fillId="0" borderId="10" xfId="0" applyFont="1" applyFill="1" applyBorder="1" applyAlignment="1">
      <alignment horizontal="center"/>
    </xf>
    <xf numFmtId="0" fontId="12" fillId="0" borderId="11" xfId="0" applyFont="1" applyFill="1" applyBorder="1" applyAlignment="1">
      <alignment horizontal="center"/>
    </xf>
    <xf numFmtId="0" fontId="12" fillId="0" borderId="12" xfId="0" applyFont="1" applyFill="1" applyBorder="1" applyAlignment="1">
      <alignment horizontal="center"/>
    </xf>
    <xf numFmtId="0" fontId="9" fillId="0" borderId="0" xfId="0" applyFont="1" applyFill="1" applyBorder="1" applyAlignment="1">
      <alignment horizontal="left" vertical="center" wrapText="1"/>
    </xf>
    <xf numFmtId="0" fontId="9" fillId="0" borderId="5" xfId="0" applyFont="1" applyFill="1" applyBorder="1" applyAlignment="1">
      <alignment horizontal="left" vertical="center" wrapText="1"/>
    </xf>
    <xf numFmtId="0" fontId="9" fillId="0" borderId="0" xfId="6" applyFont="1" applyFill="1" applyBorder="1" applyAlignment="1">
      <alignment horizontal="left"/>
    </xf>
    <xf numFmtId="0" fontId="9" fillId="0" borderId="5" xfId="6" applyFont="1" applyFill="1" applyBorder="1" applyAlignment="1">
      <alignment horizontal="left"/>
    </xf>
    <xf numFmtId="0" fontId="9" fillId="0" borderId="0" xfId="6" applyFont="1" applyFill="1" applyBorder="1" applyAlignment="1">
      <alignment horizontal="center" vertical="center"/>
    </xf>
    <xf numFmtId="0" fontId="9" fillId="0" borderId="5" xfId="6" applyFont="1" applyFill="1" applyBorder="1" applyAlignment="1">
      <alignment horizontal="center" vertical="center"/>
    </xf>
    <xf numFmtId="0" fontId="9" fillId="0" borderId="0" xfId="0" applyFont="1" applyFill="1" applyBorder="1" applyAlignment="1">
      <alignment horizontal="left" vertical="center"/>
    </xf>
    <xf numFmtId="0" fontId="9" fillId="0" borderId="5" xfId="0" applyFont="1" applyFill="1" applyBorder="1" applyAlignment="1">
      <alignment horizontal="left" vertical="center"/>
    </xf>
    <xf numFmtId="0" fontId="16" fillId="0" borderId="13" xfId="0" applyFont="1" applyFill="1" applyBorder="1" applyAlignment="1">
      <alignment horizontal="left" wrapText="1"/>
    </xf>
    <xf numFmtId="0" fontId="16" fillId="0" borderId="14" xfId="0" applyFont="1" applyFill="1" applyBorder="1" applyAlignment="1">
      <alignment horizontal="left" wrapText="1"/>
    </xf>
    <xf numFmtId="0" fontId="16" fillId="0" borderId="13" xfId="0" applyFont="1" applyFill="1" applyBorder="1" applyAlignment="1">
      <alignment horizontal="left" vertical="top" wrapText="1"/>
    </xf>
    <xf numFmtId="0" fontId="16" fillId="0" borderId="14" xfId="0" applyFont="1" applyFill="1" applyBorder="1" applyAlignment="1">
      <alignment horizontal="left" vertical="top" wrapText="1"/>
    </xf>
  </cellXfs>
  <cellStyles count="11">
    <cellStyle name="0,0_x000d__x000a_NA_x000d__x000a_" xfId="1"/>
    <cellStyle name="Calc Currency (0)" xfId="2"/>
    <cellStyle name="Header1" xfId="3"/>
    <cellStyle name="Header2" xfId="4"/>
    <cellStyle name="Hyperlink" xfId="5" builtinId="8"/>
    <cellStyle name="Normal" xfId="0" builtinId="0"/>
    <cellStyle name="Normal_Guideline_Process tailoring" xfId="6"/>
    <cellStyle name="常规_sst145" xfId="7"/>
    <cellStyle name="標準_02_発注条件書補足資料(工程定義)_関谷記入済" xfId="8"/>
    <cellStyle name="標準1" xfId="9"/>
    <cellStyle name="通貨 [0.00" xfId="10"/>
  </cellStyles>
  <dxfs count="54">
    <dxf>
      <fill>
        <patternFill patternType="solid">
          <bgColor indexed="22"/>
        </patternFill>
      </fill>
    </dxf>
    <dxf>
      <fill>
        <patternFill>
          <bgColor indexed="22"/>
        </patternFill>
      </fill>
    </dxf>
    <dxf>
      <fill>
        <patternFill>
          <bgColor indexed="43"/>
        </patternFill>
      </fill>
    </dxf>
    <dxf>
      <fill>
        <patternFill patternType="solid">
          <bgColor indexed="22"/>
        </patternFill>
      </fill>
    </dxf>
    <dxf>
      <fill>
        <patternFill>
          <bgColor indexed="22"/>
        </patternFill>
      </fill>
    </dxf>
    <dxf>
      <fill>
        <patternFill>
          <bgColor indexed="43"/>
        </patternFill>
      </fill>
    </dxf>
    <dxf>
      <fill>
        <patternFill patternType="solid">
          <bgColor indexed="22"/>
        </patternFill>
      </fill>
    </dxf>
    <dxf>
      <fill>
        <patternFill>
          <bgColor indexed="22"/>
        </patternFill>
      </fill>
    </dxf>
    <dxf>
      <fill>
        <patternFill>
          <bgColor indexed="43"/>
        </patternFill>
      </fill>
    </dxf>
    <dxf>
      <fill>
        <patternFill patternType="solid">
          <bgColor indexed="22"/>
        </patternFill>
      </fill>
    </dxf>
    <dxf>
      <fill>
        <patternFill>
          <bgColor indexed="22"/>
        </patternFill>
      </fill>
    </dxf>
    <dxf>
      <fill>
        <patternFill>
          <bgColor indexed="43"/>
        </patternFill>
      </fill>
    </dxf>
    <dxf>
      <fill>
        <patternFill patternType="solid">
          <bgColor indexed="22"/>
        </patternFill>
      </fill>
    </dxf>
    <dxf>
      <fill>
        <patternFill>
          <bgColor indexed="22"/>
        </patternFill>
      </fill>
    </dxf>
    <dxf>
      <fill>
        <patternFill>
          <bgColor indexed="43"/>
        </patternFill>
      </fill>
    </dxf>
    <dxf>
      <fill>
        <patternFill patternType="solid">
          <bgColor indexed="22"/>
        </patternFill>
      </fill>
    </dxf>
    <dxf>
      <fill>
        <patternFill>
          <bgColor indexed="22"/>
        </patternFill>
      </fill>
    </dxf>
    <dxf>
      <fill>
        <patternFill>
          <bgColor indexed="43"/>
        </patternFill>
      </fill>
    </dxf>
    <dxf>
      <fill>
        <patternFill patternType="solid">
          <bgColor indexed="22"/>
        </patternFill>
      </fill>
    </dxf>
    <dxf>
      <fill>
        <patternFill>
          <bgColor indexed="22"/>
        </patternFill>
      </fill>
    </dxf>
    <dxf>
      <fill>
        <patternFill>
          <bgColor indexed="43"/>
        </patternFill>
      </fill>
    </dxf>
    <dxf>
      <fill>
        <patternFill patternType="solid">
          <bgColor indexed="22"/>
        </patternFill>
      </fill>
    </dxf>
    <dxf>
      <fill>
        <patternFill>
          <bgColor indexed="22"/>
        </patternFill>
      </fill>
    </dxf>
    <dxf>
      <fill>
        <patternFill>
          <bgColor indexed="43"/>
        </patternFill>
      </fill>
    </dxf>
    <dxf>
      <fill>
        <patternFill patternType="solid">
          <bgColor indexed="22"/>
        </patternFill>
      </fill>
    </dxf>
    <dxf>
      <fill>
        <patternFill>
          <bgColor indexed="22"/>
        </patternFill>
      </fill>
    </dxf>
    <dxf>
      <fill>
        <patternFill>
          <bgColor indexed="43"/>
        </patternFill>
      </fill>
    </dxf>
    <dxf>
      <fill>
        <patternFill patternType="solid">
          <bgColor indexed="22"/>
        </patternFill>
      </fill>
    </dxf>
    <dxf>
      <fill>
        <patternFill>
          <bgColor indexed="22"/>
        </patternFill>
      </fill>
    </dxf>
    <dxf>
      <fill>
        <patternFill>
          <bgColor indexed="43"/>
        </patternFill>
      </fill>
    </dxf>
    <dxf>
      <fill>
        <patternFill patternType="solid">
          <bgColor indexed="22"/>
        </patternFill>
      </fill>
    </dxf>
    <dxf>
      <fill>
        <patternFill>
          <bgColor indexed="22"/>
        </patternFill>
      </fill>
    </dxf>
    <dxf>
      <fill>
        <patternFill>
          <bgColor indexed="43"/>
        </patternFill>
      </fill>
    </dxf>
    <dxf>
      <fill>
        <patternFill patternType="solid">
          <bgColor indexed="22"/>
        </patternFill>
      </fill>
    </dxf>
    <dxf>
      <fill>
        <patternFill>
          <bgColor indexed="22"/>
        </patternFill>
      </fill>
    </dxf>
    <dxf>
      <fill>
        <patternFill>
          <bgColor indexed="43"/>
        </patternFill>
      </fill>
    </dxf>
    <dxf>
      <fill>
        <patternFill patternType="solid">
          <bgColor indexed="22"/>
        </patternFill>
      </fill>
    </dxf>
    <dxf>
      <fill>
        <patternFill>
          <bgColor indexed="22"/>
        </patternFill>
      </fill>
    </dxf>
    <dxf>
      <fill>
        <patternFill>
          <bgColor indexed="43"/>
        </patternFill>
      </fill>
    </dxf>
    <dxf>
      <fill>
        <patternFill patternType="solid">
          <bgColor indexed="22"/>
        </patternFill>
      </fill>
    </dxf>
    <dxf>
      <fill>
        <patternFill>
          <bgColor indexed="22"/>
        </patternFill>
      </fill>
    </dxf>
    <dxf>
      <fill>
        <patternFill>
          <bgColor indexed="43"/>
        </patternFill>
      </fill>
    </dxf>
    <dxf>
      <fill>
        <patternFill patternType="solid">
          <bgColor indexed="22"/>
        </patternFill>
      </fill>
    </dxf>
    <dxf>
      <fill>
        <patternFill>
          <bgColor indexed="22"/>
        </patternFill>
      </fill>
    </dxf>
    <dxf>
      <fill>
        <patternFill>
          <bgColor indexed="43"/>
        </patternFill>
      </fill>
    </dxf>
    <dxf>
      <fill>
        <patternFill patternType="solid">
          <bgColor indexed="22"/>
        </patternFill>
      </fill>
    </dxf>
    <dxf>
      <fill>
        <patternFill>
          <bgColor indexed="22"/>
        </patternFill>
      </fill>
    </dxf>
    <dxf>
      <fill>
        <patternFill>
          <bgColor indexed="43"/>
        </patternFill>
      </fill>
    </dxf>
    <dxf>
      <fill>
        <patternFill patternType="solid">
          <bgColor indexed="22"/>
        </patternFill>
      </fill>
    </dxf>
    <dxf>
      <fill>
        <patternFill>
          <bgColor indexed="22"/>
        </patternFill>
      </fill>
    </dxf>
    <dxf>
      <fill>
        <patternFill>
          <bgColor indexed="43"/>
        </patternFill>
      </fill>
    </dxf>
    <dxf>
      <fill>
        <patternFill patternType="solid">
          <bgColor indexed="22"/>
        </patternFill>
      </fill>
    </dxf>
    <dxf>
      <fill>
        <patternFill>
          <bgColor indexed="22"/>
        </patternFill>
      </fill>
    </dxf>
    <dxf>
      <fill>
        <patternFill>
          <bgColor indexed="43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10" Type="http://schemas.openxmlformats.org/officeDocument/2006/relationships/customXml" Target="../customXml/item4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17</xdr:col>
      <xdr:colOff>0</xdr:colOff>
      <xdr:row>36</xdr:row>
      <xdr:rowOff>0</xdr:rowOff>
    </xdr:from>
    <xdr:to>
      <xdr:col>17</xdr:col>
      <xdr:colOff>0</xdr:colOff>
      <xdr:row>36</xdr:row>
      <xdr:rowOff>0</xdr:rowOff>
    </xdr:to>
    <xdr:sp macro="" textlink="">
      <xdr:nvSpPr>
        <xdr:cNvPr id="7927" name="Line 18"/>
        <xdr:cNvSpPr>
          <a:spLocks noChangeShapeType="1"/>
        </xdr:cNvSpPr>
      </xdr:nvSpPr>
      <xdr:spPr bwMode="auto">
        <a:xfrm>
          <a:off x="9782175" y="11553825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 type="oval" w="med" len="med"/>
          <a:tailEnd/>
        </a:ln>
      </xdr:spPr>
    </xdr:sp>
    <xdr:clientData/>
  </xdr:twoCellAnchor>
  <xdr:twoCellAnchor>
    <xdr:from>
      <xdr:col>3</xdr:col>
      <xdr:colOff>0</xdr:colOff>
      <xdr:row>36</xdr:row>
      <xdr:rowOff>0</xdr:rowOff>
    </xdr:from>
    <xdr:to>
      <xdr:col>3</xdr:col>
      <xdr:colOff>0</xdr:colOff>
      <xdr:row>36</xdr:row>
      <xdr:rowOff>0</xdr:rowOff>
    </xdr:to>
    <xdr:sp macro="" textlink="">
      <xdr:nvSpPr>
        <xdr:cNvPr id="7928" name="Line 3"/>
        <xdr:cNvSpPr>
          <a:spLocks noChangeShapeType="1"/>
        </xdr:cNvSpPr>
      </xdr:nvSpPr>
      <xdr:spPr bwMode="auto">
        <a:xfrm>
          <a:off x="676275" y="11553825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</xdr:spPr>
    </xdr:sp>
    <xdr:clientData/>
  </xdr:twoCellAnchor>
  <xdr:twoCellAnchor>
    <xdr:from>
      <xdr:col>8</xdr:col>
      <xdr:colOff>0</xdr:colOff>
      <xdr:row>36</xdr:row>
      <xdr:rowOff>0</xdr:rowOff>
    </xdr:from>
    <xdr:to>
      <xdr:col>8</xdr:col>
      <xdr:colOff>0</xdr:colOff>
      <xdr:row>36</xdr:row>
      <xdr:rowOff>0</xdr:rowOff>
    </xdr:to>
    <xdr:sp macro="" textlink="">
      <xdr:nvSpPr>
        <xdr:cNvPr id="7929" name="Line 6"/>
        <xdr:cNvSpPr>
          <a:spLocks noChangeShapeType="1"/>
        </xdr:cNvSpPr>
      </xdr:nvSpPr>
      <xdr:spPr bwMode="auto">
        <a:xfrm>
          <a:off x="4181475" y="11553825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</xdr:spPr>
    </xdr:sp>
    <xdr:clientData/>
  </xdr:twoCellAnchor>
  <xdr:twoCellAnchor>
    <xdr:from>
      <xdr:col>8</xdr:col>
      <xdr:colOff>0</xdr:colOff>
      <xdr:row>36</xdr:row>
      <xdr:rowOff>0</xdr:rowOff>
    </xdr:from>
    <xdr:to>
      <xdr:col>8</xdr:col>
      <xdr:colOff>0</xdr:colOff>
      <xdr:row>36</xdr:row>
      <xdr:rowOff>0</xdr:rowOff>
    </xdr:to>
    <xdr:sp macro="" textlink="">
      <xdr:nvSpPr>
        <xdr:cNvPr id="7930" name="Line 8"/>
        <xdr:cNvSpPr>
          <a:spLocks noChangeShapeType="1"/>
        </xdr:cNvSpPr>
      </xdr:nvSpPr>
      <xdr:spPr bwMode="auto">
        <a:xfrm>
          <a:off x="4181475" y="11553825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8</xdr:col>
      <xdr:colOff>0</xdr:colOff>
      <xdr:row>36</xdr:row>
      <xdr:rowOff>0</xdr:rowOff>
    </xdr:from>
    <xdr:to>
      <xdr:col>8</xdr:col>
      <xdr:colOff>0</xdr:colOff>
      <xdr:row>36</xdr:row>
      <xdr:rowOff>0</xdr:rowOff>
    </xdr:to>
    <xdr:sp macro="" textlink="">
      <xdr:nvSpPr>
        <xdr:cNvPr id="7931" name="Line 13"/>
        <xdr:cNvSpPr>
          <a:spLocks noChangeShapeType="1"/>
        </xdr:cNvSpPr>
      </xdr:nvSpPr>
      <xdr:spPr bwMode="auto">
        <a:xfrm>
          <a:off x="4181475" y="11553825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</xdr:spPr>
    </xdr:sp>
    <xdr:clientData/>
  </xdr:twoCellAnchor>
  <xdr:twoCellAnchor>
    <xdr:from>
      <xdr:col>3</xdr:col>
      <xdr:colOff>0</xdr:colOff>
      <xdr:row>36</xdr:row>
      <xdr:rowOff>0</xdr:rowOff>
    </xdr:from>
    <xdr:to>
      <xdr:col>3</xdr:col>
      <xdr:colOff>0</xdr:colOff>
      <xdr:row>36</xdr:row>
      <xdr:rowOff>0</xdr:rowOff>
    </xdr:to>
    <xdr:sp macro="" textlink="">
      <xdr:nvSpPr>
        <xdr:cNvPr id="7932" name="Line 15"/>
        <xdr:cNvSpPr>
          <a:spLocks noChangeShapeType="1"/>
        </xdr:cNvSpPr>
      </xdr:nvSpPr>
      <xdr:spPr bwMode="auto">
        <a:xfrm>
          <a:off x="676275" y="11553825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</xdr:spPr>
    </xdr:sp>
    <xdr:clientData/>
  </xdr:twoCellAnchor>
  <xdr:twoCellAnchor>
    <xdr:from>
      <xdr:col>2</xdr:col>
      <xdr:colOff>190500</xdr:colOff>
      <xdr:row>36</xdr:row>
      <xdr:rowOff>0</xdr:rowOff>
    </xdr:from>
    <xdr:to>
      <xdr:col>2</xdr:col>
      <xdr:colOff>190500</xdr:colOff>
      <xdr:row>36</xdr:row>
      <xdr:rowOff>0</xdr:rowOff>
    </xdr:to>
    <xdr:sp macro="" textlink="">
      <xdr:nvSpPr>
        <xdr:cNvPr id="7933" name="Line 23"/>
        <xdr:cNvSpPr>
          <a:spLocks noChangeShapeType="1"/>
        </xdr:cNvSpPr>
      </xdr:nvSpPr>
      <xdr:spPr bwMode="auto">
        <a:xfrm>
          <a:off x="523875" y="11553825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arrow" w="med" len="med"/>
        </a:ln>
      </xdr:spPr>
    </xdr:sp>
    <xdr:clientData/>
  </xdr:twoCellAnchor>
  <xdr:twoCellAnchor>
    <xdr:from>
      <xdr:col>3</xdr:col>
      <xdr:colOff>0</xdr:colOff>
      <xdr:row>36</xdr:row>
      <xdr:rowOff>0</xdr:rowOff>
    </xdr:from>
    <xdr:to>
      <xdr:col>3</xdr:col>
      <xdr:colOff>0</xdr:colOff>
      <xdr:row>36</xdr:row>
      <xdr:rowOff>0</xdr:rowOff>
    </xdr:to>
    <xdr:sp macro="" textlink="">
      <xdr:nvSpPr>
        <xdr:cNvPr id="7934" name="Line 28"/>
        <xdr:cNvSpPr>
          <a:spLocks noChangeShapeType="1"/>
        </xdr:cNvSpPr>
      </xdr:nvSpPr>
      <xdr:spPr bwMode="auto">
        <a:xfrm>
          <a:off x="676275" y="11553825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</xdr:spPr>
    </xdr:sp>
    <xdr:clientData/>
  </xdr:twoCellAnchor>
  <xdr:twoCellAnchor>
    <xdr:from>
      <xdr:col>8</xdr:col>
      <xdr:colOff>0</xdr:colOff>
      <xdr:row>36</xdr:row>
      <xdr:rowOff>0</xdr:rowOff>
    </xdr:from>
    <xdr:to>
      <xdr:col>8</xdr:col>
      <xdr:colOff>0</xdr:colOff>
      <xdr:row>36</xdr:row>
      <xdr:rowOff>0</xdr:rowOff>
    </xdr:to>
    <xdr:sp macro="" textlink="">
      <xdr:nvSpPr>
        <xdr:cNvPr id="7935" name="Line 32"/>
        <xdr:cNvSpPr>
          <a:spLocks noChangeShapeType="1"/>
        </xdr:cNvSpPr>
      </xdr:nvSpPr>
      <xdr:spPr bwMode="auto">
        <a:xfrm>
          <a:off x="4181475" y="11553825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</xdr:spPr>
    </xdr:sp>
    <xdr:clientData/>
  </xdr:twoCellAnchor>
  <xdr:twoCellAnchor>
    <xdr:from>
      <xdr:col>8</xdr:col>
      <xdr:colOff>0</xdr:colOff>
      <xdr:row>36</xdr:row>
      <xdr:rowOff>0</xdr:rowOff>
    </xdr:from>
    <xdr:to>
      <xdr:col>8</xdr:col>
      <xdr:colOff>0</xdr:colOff>
      <xdr:row>36</xdr:row>
      <xdr:rowOff>0</xdr:rowOff>
    </xdr:to>
    <xdr:sp macro="" textlink="">
      <xdr:nvSpPr>
        <xdr:cNvPr id="7936" name="Line 34"/>
        <xdr:cNvSpPr>
          <a:spLocks noChangeShapeType="1"/>
        </xdr:cNvSpPr>
      </xdr:nvSpPr>
      <xdr:spPr bwMode="auto">
        <a:xfrm>
          <a:off x="4181475" y="11553825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8</xdr:col>
      <xdr:colOff>0</xdr:colOff>
      <xdr:row>36</xdr:row>
      <xdr:rowOff>0</xdr:rowOff>
    </xdr:from>
    <xdr:to>
      <xdr:col>8</xdr:col>
      <xdr:colOff>0</xdr:colOff>
      <xdr:row>36</xdr:row>
      <xdr:rowOff>0</xdr:rowOff>
    </xdr:to>
    <xdr:sp macro="" textlink="">
      <xdr:nvSpPr>
        <xdr:cNvPr id="7937" name="Line 39"/>
        <xdr:cNvSpPr>
          <a:spLocks noChangeShapeType="1"/>
        </xdr:cNvSpPr>
      </xdr:nvSpPr>
      <xdr:spPr bwMode="auto">
        <a:xfrm>
          <a:off x="4181475" y="11553825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</xdr:spPr>
    </xdr:sp>
    <xdr:clientData/>
  </xdr:twoCellAnchor>
  <xdr:twoCellAnchor>
    <xdr:from>
      <xdr:col>3</xdr:col>
      <xdr:colOff>0</xdr:colOff>
      <xdr:row>36</xdr:row>
      <xdr:rowOff>0</xdr:rowOff>
    </xdr:from>
    <xdr:to>
      <xdr:col>3</xdr:col>
      <xdr:colOff>0</xdr:colOff>
      <xdr:row>36</xdr:row>
      <xdr:rowOff>0</xdr:rowOff>
    </xdr:to>
    <xdr:sp macro="" textlink="">
      <xdr:nvSpPr>
        <xdr:cNvPr id="7938" name="Line 42"/>
        <xdr:cNvSpPr>
          <a:spLocks noChangeShapeType="1"/>
        </xdr:cNvSpPr>
      </xdr:nvSpPr>
      <xdr:spPr bwMode="auto">
        <a:xfrm>
          <a:off x="676275" y="11553825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</xdr:spPr>
    </xdr:sp>
    <xdr:clientData/>
  </xdr:twoCellAnchor>
  <xdr:twoCellAnchor>
    <xdr:from>
      <xdr:col>2</xdr:col>
      <xdr:colOff>190500</xdr:colOff>
      <xdr:row>36</xdr:row>
      <xdr:rowOff>0</xdr:rowOff>
    </xdr:from>
    <xdr:to>
      <xdr:col>2</xdr:col>
      <xdr:colOff>190500</xdr:colOff>
      <xdr:row>36</xdr:row>
      <xdr:rowOff>0</xdr:rowOff>
    </xdr:to>
    <xdr:sp macro="" textlink="">
      <xdr:nvSpPr>
        <xdr:cNvPr id="7939" name="Line 52"/>
        <xdr:cNvSpPr>
          <a:spLocks noChangeShapeType="1"/>
        </xdr:cNvSpPr>
      </xdr:nvSpPr>
      <xdr:spPr bwMode="auto">
        <a:xfrm>
          <a:off x="523875" y="11553825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arrow" w="med" len="med"/>
        </a:ln>
      </xdr:spPr>
    </xdr:sp>
    <xdr:clientData/>
  </xdr:twoCellAnchor>
  <xdr:twoCellAnchor>
    <xdr:from>
      <xdr:col>7</xdr:col>
      <xdr:colOff>152400</xdr:colOff>
      <xdr:row>36</xdr:row>
      <xdr:rowOff>0</xdr:rowOff>
    </xdr:from>
    <xdr:to>
      <xdr:col>7</xdr:col>
      <xdr:colOff>152400</xdr:colOff>
      <xdr:row>36</xdr:row>
      <xdr:rowOff>0</xdr:rowOff>
    </xdr:to>
    <xdr:sp macro="" textlink="">
      <xdr:nvSpPr>
        <xdr:cNvPr id="7940" name="Line 58"/>
        <xdr:cNvSpPr>
          <a:spLocks noChangeShapeType="1"/>
        </xdr:cNvSpPr>
      </xdr:nvSpPr>
      <xdr:spPr bwMode="auto">
        <a:xfrm>
          <a:off x="3390900" y="11553825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9</xdr:col>
      <xdr:colOff>542925</xdr:colOff>
      <xdr:row>36</xdr:row>
      <xdr:rowOff>0</xdr:rowOff>
    </xdr:from>
    <xdr:to>
      <xdr:col>9</xdr:col>
      <xdr:colOff>542925</xdr:colOff>
      <xdr:row>36</xdr:row>
      <xdr:rowOff>0</xdr:rowOff>
    </xdr:to>
    <xdr:sp macro="" textlink="">
      <xdr:nvSpPr>
        <xdr:cNvPr id="7941" name="Line 413"/>
        <xdr:cNvSpPr>
          <a:spLocks noChangeShapeType="1"/>
        </xdr:cNvSpPr>
      </xdr:nvSpPr>
      <xdr:spPr bwMode="auto">
        <a:xfrm>
          <a:off x="4838700" y="11553825"/>
          <a:ext cx="0" cy="0"/>
        </a:xfrm>
        <a:prstGeom prst="line">
          <a:avLst/>
        </a:prstGeom>
        <a:noFill/>
        <a:ln w="19050">
          <a:solidFill>
            <a:srgbClr val="000000"/>
          </a:solidFill>
          <a:prstDash val="dash"/>
          <a:round/>
          <a:headEnd/>
          <a:tailEnd/>
        </a:ln>
      </xdr:spPr>
    </xdr:sp>
    <xdr:clientData/>
  </xdr:twoCellAnchor>
  <xdr:twoCellAnchor>
    <xdr:from>
      <xdr:col>3</xdr:col>
      <xdr:colOff>123825</xdr:colOff>
      <xdr:row>36</xdr:row>
      <xdr:rowOff>0</xdr:rowOff>
    </xdr:from>
    <xdr:to>
      <xdr:col>3</xdr:col>
      <xdr:colOff>123825</xdr:colOff>
      <xdr:row>36</xdr:row>
      <xdr:rowOff>0</xdr:rowOff>
    </xdr:to>
    <xdr:sp macro="" textlink="">
      <xdr:nvSpPr>
        <xdr:cNvPr id="7942" name="Line 348"/>
        <xdr:cNvSpPr>
          <a:spLocks noChangeShapeType="1"/>
        </xdr:cNvSpPr>
      </xdr:nvSpPr>
      <xdr:spPr bwMode="auto">
        <a:xfrm>
          <a:off x="800100" y="11553825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</xdr:spPr>
    </xdr:sp>
    <xdr:clientData/>
  </xdr:twoCellAnchor>
  <xdr:twoCellAnchor>
    <xdr:from>
      <xdr:col>5</xdr:col>
      <xdr:colOff>114300</xdr:colOff>
      <xdr:row>36</xdr:row>
      <xdr:rowOff>0</xdr:rowOff>
    </xdr:from>
    <xdr:to>
      <xdr:col>5</xdr:col>
      <xdr:colOff>114300</xdr:colOff>
      <xdr:row>36</xdr:row>
      <xdr:rowOff>0</xdr:rowOff>
    </xdr:to>
    <xdr:sp macro="" textlink="">
      <xdr:nvSpPr>
        <xdr:cNvPr id="7943" name="Line 351"/>
        <xdr:cNvSpPr>
          <a:spLocks noChangeShapeType="1"/>
        </xdr:cNvSpPr>
      </xdr:nvSpPr>
      <xdr:spPr bwMode="auto">
        <a:xfrm>
          <a:off x="2324100" y="11553825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</xdr:spPr>
    </xdr:sp>
    <xdr:clientData/>
  </xdr:twoCellAnchor>
  <xdr:twoCellAnchor>
    <xdr:from>
      <xdr:col>5</xdr:col>
      <xdr:colOff>114300</xdr:colOff>
      <xdr:row>36</xdr:row>
      <xdr:rowOff>0</xdr:rowOff>
    </xdr:from>
    <xdr:to>
      <xdr:col>5</xdr:col>
      <xdr:colOff>114300</xdr:colOff>
      <xdr:row>36</xdr:row>
      <xdr:rowOff>0</xdr:rowOff>
    </xdr:to>
    <xdr:sp macro="" textlink="">
      <xdr:nvSpPr>
        <xdr:cNvPr id="7944" name="Line 352"/>
        <xdr:cNvSpPr>
          <a:spLocks noChangeShapeType="1"/>
        </xdr:cNvSpPr>
      </xdr:nvSpPr>
      <xdr:spPr bwMode="auto">
        <a:xfrm>
          <a:off x="2324100" y="11553825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5</xdr:col>
      <xdr:colOff>114300</xdr:colOff>
      <xdr:row>36</xdr:row>
      <xdr:rowOff>0</xdr:rowOff>
    </xdr:from>
    <xdr:to>
      <xdr:col>5</xdr:col>
      <xdr:colOff>114300</xdr:colOff>
      <xdr:row>36</xdr:row>
      <xdr:rowOff>0</xdr:rowOff>
    </xdr:to>
    <xdr:sp macro="" textlink="">
      <xdr:nvSpPr>
        <xdr:cNvPr id="7945" name="Line 356"/>
        <xdr:cNvSpPr>
          <a:spLocks noChangeShapeType="1"/>
        </xdr:cNvSpPr>
      </xdr:nvSpPr>
      <xdr:spPr bwMode="auto">
        <a:xfrm>
          <a:off x="2324100" y="11553825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</xdr:spPr>
    </xdr:sp>
    <xdr:clientData/>
  </xdr:twoCellAnchor>
  <xdr:twoCellAnchor>
    <xdr:from>
      <xdr:col>3</xdr:col>
      <xdr:colOff>123825</xdr:colOff>
      <xdr:row>36</xdr:row>
      <xdr:rowOff>0</xdr:rowOff>
    </xdr:from>
    <xdr:to>
      <xdr:col>3</xdr:col>
      <xdr:colOff>123825</xdr:colOff>
      <xdr:row>36</xdr:row>
      <xdr:rowOff>0</xdr:rowOff>
    </xdr:to>
    <xdr:sp macro="" textlink="">
      <xdr:nvSpPr>
        <xdr:cNvPr id="7946" name="Line 358"/>
        <xdr:cNvSpPr>
          <a:spLocks noChangeShapeType="1"/>
        </xdr:cNvSpPr>
      </xdr:nvSpPr>
      <xdr:spPr bwMode="auto">
        <a:xfrm>
          <a:off x="800100" y="11553825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</xdr:spPr>
    </xdr:sp>
    <xdr:clientData/>
  </xdr:twoCellAnchor>
  <xdr:twoCellAnchor>
    <xdr:from>
      <xdr:col>10</xdr:col>
      <xdr:colOff>0</xdr:colOff>
      <xdr:row>36</xdr:row>
      <xdr:rowOff>0</xdr:rowOff>
    </xdr:from>
    <xdr:to>
      <xdr:col>10</xdr:col>
      <xdr:colOff>0</xdr:colOff>
      <xdr:row>36</xdr:row>
      <xdr:rowOff>0</xdr:rowOff>
    </xdr:to>
    <xdr:sp macro="" textlink="">
      <xdr:nvSpPr>
        <xdr:cNvPr id="7947" name="Line 361"/>
        <xdr:cNvSpPr>
          <a:spLocks noChangeShapeType="1"/>
        </xdr:cNvSpPr>
      </xdr:nvSpPr>
      <xdr:spPr bwMode="auto">
        <a:xfrm>
          <a:off x="5057775" y="11553825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 type="oval" w="med" len="med"/>
          <a:tailEnd/>
        </a:ln>
      </xdr:spPr>
    </xdr:sp>
    <xdr:clientData/>
  </xdr:twoCellAnchor>
  <xdr:twoCellAnchor>
    <xdr:from>
      <xdr:col>3</xdr:col>
      <xdr:colOff>123825</xdr:colOff>
      <xdr:row>36</xdr:row>
      <xdr:rowOff>0</xdr:rowOff>
    </xdr:from>
    <xdr:to>
      <xdr:col>3</xdr:col>
      <xdr:colOff>123825</xdr:colOff>
      <xdr:row>36</xdr:row>
      <xdr:rowOff>0</xdr:rowOff>
    </xdr:to>
    <xdr:sp macro="" textlink="">
      <xdr:nvSpPr>
        <xdr:cNvPr id="7948" name="Line 371"/>
        <xdr:cNvSpPr>
          <a:spLocks noChangeShapeType="1"/>
        </xdr:cNvSpPr>
      </xdr:nvSpPr>
      <xdr:spPr bwMode="auto">
        <a:xfrm>
          <a:off x="800100" y="11553825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</xdr:spPr>
    </xdr:sp>
    <xdr:clientData/>
  </xdr:twoCellAnchor>
  <xdr:twoCellAnchor>
    <xdr:from>
      <xdr:col>5</xdr:col>
      <xdr:colOff>114300</xdr:colOff>
      <xdr:row>36</xdr:row>
      <xdr:rowOff>0</xdr:rowOff>
    </xdr:from>
    <xdr:to>
      <xdr:col>5</xdr:col>
      <xdr:colOff>114300</xdr:colOff>
      <xdr:row>36</xdr:row>
      <xdr:rowOff>0</xdr:rowOff>
    </xdr:to>
    <xdr:sp macro="" textlink="">
      <xdr:nvSpPr>
        <xdr:cNvPr id="7949" name="Line 375"/>
        <xdr:cNvSpPr>
          <a:spLocks noChangeShapeType="1"/>
        </xdr:cNvSpPr>
      </xdr:nvSpPr>
      <xdr:spPr bwMode="auto">
        <a:xfrm>
          <a:off x="2324100" y="11553825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</xdr:spPr>
    </xdr:sp>
    <xdr:clientData/>
  </xdr:twoCellAnchor>
  <xdr:twoCellAnchor>
    <xdr:from>
      <xdr:col>5</xdr:col>
      <xdr:colOff>114300</xdr:colOff>
      <xdr:row>36</xdr:row>
      <xdr:rowOff>0</xdr:rowOff>
    </xdr:from>
    <xdr:to>
      <xdr:col>5</xdr:col>
      <xdr:colOff>114300</xdr:colOff>
      <xdr:row>36</xdr:row>
      <xdr:rowOff>0</xdr:rowOff>
    </xdr:to>
    <xdr:sp macro="" textlink="">
      <xdr:nvSpPr>
        <xdr:cNvPr id="7950" name="Line 377"/>
        <xdr:cNvSpPr>
          <a:spLocks noChangeShapeType="1"/>
        </xdr:cNvSpPr>
      </xdr:nvSpPr>
      <xdr:spPr bwMode="auto">
        <a:xfrm>
          <a:off x="2324100" y="11553825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5</xdr:col>
      <xdr:colOff>114300</xdr:colOff>
      <xdr:row>36</xdr:row>
      <xdr:rowOff>0</xdr:rowOff>
    </xdr:from>
    <xdr:to>
      <xdr:col>5</xdr:col>
      <xdr:colOff>114300</xdr:colOff>
      <xdr:row>36</xdr:row>
      <xdr:rowOff>0</xdr:rowOff>
    </xdr:to>
    <xdr:sp macro="" textlink="">
      <xdr:nvSpPr>
        <xdr:cNvPr id="7951" name="Line 382"/>
        <xdr:cNvSpPr>
          <a:spLocks noChangeShapeType="1"/>
        </xdr:cNvSpPr>
      </xdr:nvSpPr>
      <xdr:spPr bwMode="auto">
        <a:xfrm>
          <a:off x="2324100" y="11553825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</xdr:spPr>
    </xdr:sp>
    <xdr:clientData/>
  </xdr:twoCellAnchor>
  <xdr:twoCellAnchor>
    <xdr:from>
      <xdr:col>3</xdr:col>
      <xdr:colOff>123825</xdr:colOff>
      <xdr:row>36</xdr:row>
      <xdr:rowOff>0</xdr:rowOff>
    </xdr:from>
    <xdr:to>
      <xdr:col>3</xdr:col>
      <xdr:colOff>123825</xdr:colOff>
      <xdr:row>36</xdr:row>
      <xdr:rowOff>0</xdr:rowOff>
    </xdr:to>
    <xdr:sp macro="" textlink="">
      <xdr:nvSpPr>
        <xdr:cNvPr id="7952" name="Line 385"/>
        <xdr:cNvSpPr>
          <a:spLocks noChangeShapeType="1"/>
        </xdr:cNvSpPr>
      </xdr:nvSpPr>
      <xdr:spPr bwMode="auto">
        <a:xfrm>
          <a:off x="800100" y="11553825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</xdr:spPr>
    </xdr:sp>
    <xdr:clientData/>
  </xdr:twoCellAnchor>
  <xdr:twoCellAnchor>
    <xdr:from>
      <xdr:col>3</xdr:col>
      <xdr:colOff>19050</xdr:colOff>
      <xdr:row>36</xdr:row>
      <xdr:rowOff>0</xdr:rowOff>
    </xdr:from>
    <xdr:to>
      <xdr:col>3</xdr:col>
      <xdr:colOff>19050</xdr:colOff>
      <xdr:row>36</xdr:row>
      <xdr:rowOff>0</xdr:rowOff>
    </xdr:to>
    <xdr:sp macro="" textlink="">
      <xdr:nvSpPr>
        <xdr:cNvPr id="7953" name="Line 395"/>
        <xdr:cNvSpPr>
          <a:spLocks noChangeShapeType="1"/>
        </xdr:cNvSpPr>
      </xdr:nvSpPr>
      <xdr:spPr bwMode="auto">
        <a:xfrm>
          <a:off x="695325" y="11553825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arrow" w="med" len="med"/>
        </a:ln>
      </xdr:spPr>
    </xdr:sp>
    <xdr:clientData/>
  </xdr:twoCellAnchor>
  <xdr:twoCellAnchor>
    <xdr:from>
      <xdr:col>4</xdr:col>
      <xdr:colOff>847725</xdr:colOff>
      <xdr:row>36</xdr:row>
      <xdr:rowOff>0</xdr:rowOff>
    </xdr:from>
    <xdr:to>
      <xdr:col>4</xdr:col>
      <xdr:colOff>847725</xdr:colOff>
      <xdr:row>36</xdr:row>
      <xdr:rowOff>0</xdr:rowOff>
    </xdr:to>
    <xdr:sp macro="" textlink="">
      <xdr:nvSpPr>
        <xdr:cNvPr id="7954" name="Line 401"/>
        <xdr:cNvSpPr>
          <a:spLocks noChangeShapeType="1"/>
        </xdr:cNvSpPr>
      </xdr:nvSpPr>
      <xdr:spPr bwMode="auto">
        <a:xfrm>
          <a:off x="2133600" y="11553825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4</xdr:col>
      <xdr:colOff>495300</xdr:colOff>
      <xdr:row>36</xdr:row>
      <xdr:rowOff>0</xdr:rowOff>
    </xdr:from>
    <xdr:to>
      <xdr:col>6</xdr:col>
      <xdr:colOff>342900</xdr:colOff>
      <xdr:row>36</xdr:row>
      <xdr:rowOff>0</xdr:rowOff>
    </xdr:to>
    <xdr:sp macro="" textlink="">
      <xdr:nvSpPr>
        <xdr:cNvPr id="7575" name="Rectangle 407"/>
        <xdr:cNvSpPr>
          <a:spLocks noChangeArrowheads="1"/>
        </xdr:cNvSpPr>
      </xdr:nvSpPr>
      <xdr:spPr bwMode="auto">
        <a:xfrm>
          <a:off x="1781175" y="12058650"/>
          <a:ext cx="1352550" cy="0"/>
        </a:xfrm>
        <a:prstGeom prst="rect">
          <a:avLst/>
        </a:prstGeom>
        <a:solidFill>
          <a:srgbClr val="CCFFCC"/>
        </a:solidFill>
        <a:ln w="9525">
          <a:noFill/>
          <a:miter lim="800000"/>
          <a:headEnd/>
          <a:tailEnd/>
        </a:ln>
      </xdr:spPr>
      <xdr:txBody>
        <a:bodyPr vertOverflow="clip" wrap="square" lIns="36576" tIns="27432" rIns="36576" bIns="0" anchor="t" upright="1"/>
        <a:lstStyle/>
        <a:p>
          <a:pPr algn="ctr" rtl="0">
            <a:defRPr sz="1000"/>
          </a:pPr>
          <a:r>
            <a:rPr lang="en-US" sz="1400" b="1" i="0" u="sng" strike="noStrike" baseline="0">
              <a:solidFill>
                <a:srgbClr val="0000FF"/>
              </a:solidFill>
              <a:latin typeface="Arial"/>
              <a:cs typeface="Arial"/>
            </a:rPr>
            <a:t>FPT </a:t>
          </a:r>
        </a:p>
      </xdr:txBody>
    </xdr:sp>
    <xdr:clientData/>
  </xdr:twoCellAnchor>
  <xdr:twoCellAnchor>
    <xdr:from>
      <xdr:col>9</xdr:col>
      <xdr:colOff>581025</xdr:colOff>
      <xdr:row>36</xdr:row>
      <xdr:rowOff>0</xdr:rowOff>
    </xdr:from>
    <xdr:to>
      <xdr:col>11</xdr:col>
      <xdr:colOff>238125</xdr:colOff>
      <xdr:row>36</xdr:row>
      <xdr:rowOff>0</xdr:rowOff>
    </xdr:to>
    <xdr:sp macro="" textlink="">
      <xdr:nvSpPr>
        <xdr:cNvPr id="7576" name="Rectangle 408"/>
        <xdr:cNvSpPr>
          <a:spLocks noChangeArrowheads="1"/>
        </xdr:cNvSpPr>
      </xdr:nvSpPr>
      <xdr:spPr bwMode="auto">
        <a:xfrm>
          <a:off x="4876800" y="12058650"/>
          <a:ext cx="1352550" cy="0"/>
        </a:xfrm>
        <a:prstGeom prst="rect">
          <a:avLst/>
        </a:prstGeom>
        <a:solidFill>
          <a:srgbClr val="CCFFCC"/>
        </a:solidFill>
        <a:ln w="9525">
          <a:noFill/>
          <a:miter lim="800000"/>
          <a:headEnd/>
          <a:tailEnd/>
        </a:ln>
      </xdr:spPr>
      <xdr:txBody>
        <a:bodyPr vertOverflow="clip" wrap="square" lIns="36576" tIns="27432" rIns="36576" bIns="0" anchor="t" upright="1"/>
        <a:lstStyle/>
        <a:p>
          <a:pPr algn="ctr" rtl="0">
            <a:defRPr sz="1000"/>
          </a:pPr>
          <a:r>
            <a:rPr lang="en-US" sz="1400" b="1" i="0" u="sng" strike="noStrike" baseline="0">
              <a:solidFill>
                <a:srgbClr val="0000FF"/>
              </a:solidFill>
              <a:latin typeface="Arial"/>
              <a:cs typeface="Arial"/>
            </a:rPr>
            <a:t>Customer</a:t>
          </a:r>
        </a:p>
      </xdr:txBody>
    </xdr:sp>
    <xdr:clientData/>
  </xdr:twoCellAnchor>
  <xdr:twoCellAnchor>
    <xdr:from>
      <xdr:col>2</xdr:col>
      <xdr:colOff>209550</xdr:colOff>
      <xdr:row>36</xdr:row>
      <xdr:rowOff>0</xdr:rowOff>
    </xdr:from>
    <xdr:to>
      <xdr:col>3</xdr:col>
      <xdr:colOff>361950</xdr:colOff>
      <xdr:row>36</xdr:row>
      <xdr:rowOff>0</xdr:rowOff>
    </xdr:to>
    <xdr:sp macro="" textlink="">
      <xdr:nvSpPr>
        <xdr:cNvPr id="7579" name="Rectangle 411"/>
        <xdr:cNvSpPr>
          <a:spLocks noChangeArrowheads="1"/>
        </xdr:cNvSpPr>
      </xdr:nvSpPr>
      <xdr:spPr bwMode="auto">
        <a:xfrm>
          <a:off x="542925" y="12058650"/>
          <a:ext cx="495300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27432" tIns="22860" rIns="27432" bIns="0" anchor="t" upright="1"/>
        <a:lstStyle/>
        <a:p>
          <a:pPr algn="ctr" rtl="0">
            <a:defRPr sz="1000"/>
          </a:pPr>
          <a:r>
            <a:rPr lang="en-US" sz="1000" b="1" i="0" u="none" strike="noStrike" baseline="0">
              <a:solidFill>
                <a:srgbClr val="0000FF"/>
              </a:solidFill>
              <a:latin typeface="Arial"/>
              <a:cs typeface="Arial"/>
            </a:rPr>
            <a:t>PM</a:t>
          </a:r>
        </a:p>
      </xdr:txBody>
    </xdr:sp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114300</xdr:colOff>
          <xdr:row>36</xdr:row>
          <xdr:rowOff>31750</xdr:rowOff>
        </xdr:from>
        <xdr:to>
          <xdr:col>11</xdr:col>
          <xdr:colOff>679450</xdr:colOff>
          <xdr:row>81</xdr:row>
          <xdr:rowOff>114300</xdr:rowOff>
        </xdr:to>
        <xdr:sp macro="" textlink="">
          <xdr:nvSpPr>
            <xdr:cNvPr id="7585" name="Object 417" hidden="1">
              <a:extLst>
                <a:ext uri="{63B3BB69-23CF-44E3-9099-C40C66FF867C}">
                  <a14:compatExt spid="_x0000_s7585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5" Type="http://schemas.openxmlformats.org/officeDocument/2006/relationships/image" Target="../media/image1.emf"/><Relationship Id="rId4" Type="http://schemas.openxmlformats.org/officeDocument/2006/relationships/oleObject" Target="../embeddings/Microsoft_Visio_2003-2010_Drawing.vsd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P83"/>
  <sheetViews>
    <sheetView showGridLines="0" zoomScaleNormal="100" workbookViewId="0">
      <selection activeCell="Q43" sqref="Q43"/>
    </sheetView>
  </sheetViews>
  <sheetFormatPr defaultColWidth="9.1796875" defaultRowHeight="12.5"/>
  <cols>
    <col min="1" max="1" width="2.81640625" style="39" customWidth="1"/>
    <col min="2" max="2" width="2.1796875" style="39" customWidth="1"/>
    <col min="3" max="3" width="5.1796875" style="39" customWidth="1"/>
    <col min="4" max="4" width="9.1796875" style="39"/>
    <col min="5" max="5" width="13.81640625" style="39" customWidth="1"/>
    <col min="6" max="6" width="8.7265625" style="39" customWidth="1"/>
    <col min="7" max="7" width="6.7265625" style="39" customWidth="1"/>
    <col min="8" max="8" width="14.1796875" style="39" customWidth="1"/>
    <col min="9" max="9" width="1.7265625" style="39" customWidth="1"/>
    <col min="10" max="10" width="11.453125" style="39" customWidth="1"/>
    <col min="11" max="11" width="14" style="39" customWidth="1"/>
    <col min="12" max="12" width="11.1796875" style="39" customWidth="1"/>
    <col min="13" max="16384" width="9.1796875" style="39"/>
  </cols>
  <sheetData>
    <row r="1" spans="1:16" s="12" customFormat="1" ht="27" customHeight="1">
      <c r="A1" s="81" t="s">
        <v>55</v>
      </c>
      <c r="B1" s="82"/>
      <c r="C1" s="82"/>
      <c r="D1" s="82"/>
      <c r="E1" s="82"/>
      <c r="F1" s="82"/>
      <c r="G1" s="82"/>
      <c r="H1" s="82"/>
      <c r="I1" s="82"/>
      <c r="J1" s="82"/>
      <c r="K1" s="82"/>
      <c r="L1" s="83"/>
      <c r="P1" s="13"/>
    </row>
    <row r="2" spans="1:16" s="18" customFormat="1" ht="22.5" customHeight="1">
      <c r="A2" s="14"/>
      <c r="B2" s="15" t="s">
        <v>8</v>
      </c>
      <c r="C2" s="16"/>
      <c r="D2" s="16"/>
      <c r="E2" s="16"/>
      <c r="F2" s="16"/>
      <c r="G2" s="16"/>
      <c r="H2" s="16"/>
      <c r="I2" s="16"/>
      <c r="J2" s="16"/>
      <c r="K2" s="16"/>
      <c r="L2" s="17"/>
    </row>
    <row r="3" spans="1:16" s="18" customFormat="1" ht="12.75" customHeight="1">
      <c r="A3" s="19"/>
      <c r="B3" s="16"/>
      <c r="C3" s="20" t="s">
        <v>16</v>
      </c>
      <c r="D3" s="16"/>
      <c r="E3" s="16"/>
      <c r="F3" s="16"/>
      <c r="G3" s="16"/>
      <c r="H3" s="16"/>
      <c r="I3" s="16"/>
      <c r="J3" s="16"/>
      <c r="K3" s="16"/>
      <c r="L3" s="27"/>
    </row>
    <row r="4" spans="1:16" s="18" customFormat="1" ht="12.75" customHeight="1">
      <c r="A4" s="19"/>
      <c r="B4" s="16"/>
      <c r="C4" s="20" t="s">
        <v>17</v>
      </c>
      <c r="D4" s="16"/>
      <c r="E4" s="16"/>
      <c r="F4" s="16"/>
      <c r="G4" s="16"/>
      <c r="H4" s="16"/>
      <c r="I4" s="16"/>
      <c r="J4" s="16"/>
      <c r="K4" s="16"/>
      <c r="L4" s="17"/>
    </row>
    <row r="5" spans="1:16" s="18" customFormat="1" ht="12.75" customHeight="1">
      <c r="A5" s="19"/>
      <c r="B5" s="16"/>
      <c r="C5" s="20" t="s">
        <v>12</v>
      </c>
      <c r="D5" s="16"/>
      <c r="E5" s="16"/>
      <c r="F5" s="16"/>
      <c r="G5" s="16"/>
      <c r="H5" s="16"/>
      <c r="I5" s="16"/>
      <c r="J5" s="16"/>
      <c r="K5" s="16"/>
      <c r="L5" s="17"/>
    </row>
    <row r="6" spans="1:16" s="28" customFormat="1" ht="7.5" customHeight="1">
      <c r="A6" s="21"/>
      <c r="B6" s="22"/>
      <c r="C6" s="23"/>
      <c r="D6" s="24"/>
      <c r="E6" s="25"/>
      <c r="F6" s="26"/>
      <c r="G6" s="26"/>
      <c r="H6" s="26"/>
      <c r="I6" s="26"/>
      <c r="J6" s="26"/>
      <c r="K6" s="26"/>
      <c r="L6" s="27"/>
    </row>
    <row r="7" spans="1:16" s="18" customFormat="1" ht="12.75" customHeight="1">
      <c r="A7" s="19"/>
      <c r="B7" s="16"/>
      <c r="C7" s="29" t="s">
        <v>13</v>
      </c>
      <c r="D7" s="16"/>
      <c r="E7" s="16"/>
      <c r="F7" s="16"/>
      <c r="G7" s="16"/>
      <c r="H7" s="16"/>
      <c r="I7" s="16"/>
      <c r="J7" s="16"/>
      <c r="K7" s="16"/>
      <c r="L7" s="17"/>
    </row>
    <row r="8" spans="1:16" s="18" customFormat="1" ht="12.75" customHeight="1">
      <c r="A8" s="19"/>
      <c r="B8" s="16"/>
      <c r="C8" s="29" t="s">
        <v>42</v>
      </c>
      <c r="D8" s="16"/>
      <c r="E8" s="16"/>
      <c r="F8" s="16"/>
      <c r="G8" s="16"/>
      <c r="H8" s="16"/>
      <c r="I8" s="16"/>
      <c r="J8" s="16"/>
      <c r="K8" s="16"/>
      <c r="L8" s="17"/>
    </row>
    <row r="9" spans="1:16" s="18" customFormat="1" ht="12.75" customHeight="1">
      <c r="A9" s="19"/>
      <c r="B9" s="16"/>
      <c r="C9" s="29" t="s">
        <v>14</v>
      </c>
      <c r="D9" s="16"/>
      <c r="E9" s="16"/>
      <c r="F9" s="16"/>
      <c r="G9" s="16"/>
      <c r="H9" s="16"/>
      <c r="I9" s="16"/>
      <c r="J9" s="16"/>
      <c r="K9" s="16"/>
      <c r="L9" s="17"/>
    </row>
    <row r="10" spans="1:16" s="28" customFormat="1" ht="7.5" customHeight="1">
      <c r="A10" s="21"/>
      <c r="B10" s="22"/>
      <c r="C10" s="23"/>
      <c r="D10" s="24"/>
      <c r="E10" s="25"/>
      <c r="F10" s="26"/>
      <c r="G10" s="26"/>
      <c r="H10" s="26"/>
      <c r="I10" s="26"/>
      <c r="J10" s="26"/>
      <c r="K10" s="26"/>
      <c r="L10" s="27"/>
    </row>
    <row r="11" spans="1:16" s="18" customFormat="1" ht="12.75" customHeight="1">
      <c r="A11" s="19"/>
      <c r="B11" s="16"/>
      <c r="C11" s="29" t="s">
        <v>43</v>
      </c>
      <c r="D11" s="16"/>
      <c r="E11" s="16"/>
      <c r="F11" s="16"/>
      <c r="G11" s="16"/>
      <c r="H11" s="16"/>
      <c r="I11" s="16"/>
      <c r="J11" s="16"/>
      <c r="K11" s="16"/>
      <c r="L11" s="17"/>
    </row>
    <row r="12" spans="1:16" s="18" customFormat="1" ht="12.75" customHeight="1">
      <c r="A12" s="19"/>
      <c r="B12" s="16"/>
      <c r="C12" s="29" t="s">
        <v>15</v>
      </c>
      <c r="D12" s="16"/>
      <c r="E12" s="16"/>
      <c r="F12" s="16"/>
      <c r="G12" s="16"/>
      <c r="H12" s="16"/>
      <c r="I12" s="16"/>
      <c r="J12" s="16"/>
      <c r="K12" s="16"/>
      <c r="L12" s="17"/>
    </row>
    <row r="13" spans="1:16" s="28" customFormat="1" ht="7.5" customHeight="1">
      <c r="A13" s="21"/>
      <c r="B13" s="22"/>
      <c r="C13" s="23"/>
      <c r="D13" s="24"/>
      <c r="E13" s="25"/>
      <c r="F13" s="26"/>
      <c r="G13" s="26"/>
      <c r="H13" s="26"/>
      <c r="I13" s="26"/>
      <c r="J13" s="26"/>
      <c r="K13" s="26"/>
      <c r="L13" s="27"/>
    </row>
    <row r="14" spans="1:16" s="18" customFormat="1" ht="22.5" customHeight="1">
      <c r="A14" s="19"/>
      <c r="B14" s="15" t="s">
        <v>9</v>
      </c>
      <c r="C14" s="16"/>
      <c r="D14" s="16"/>
      <c r="E14" s="16"/>
      <c r="F14" s="16"/>
      <c r="G14" s="16"/>
      <c r="H14" s="16"/>
      <c r="I14" s="16"/>
      <c r="J14" s="16"/>
      <c r="K14" s="16"/>
      <c r="L14" s="17"/>
    </row>
    <row r="15" spans="1:16" s="18" customFormat="1" ht="12.75" customHeight="1">
      <c r="A15" s="19"/>
      <c r="B15" s="16"/>
      <c r="C15" s="16" t="s">
        <v>10</v>
      </c>
      <c r="D15" s="16"/>
      <c r="E15" s="16"/>
      <c r="F15" s="16"/>
      <c r="G15" s="16"/>
      <c r="H15" s="16"/>
      <c r="I15" s="16"/>
      <c r="J15" s="16"/>
      <c r="K15" s="16"/>
      <c r="L15" s="17"/>
    </row>
    <row r="16" spans="1:16" s="18" customFormat="1" ht="23.25" customHeight="1">
      <c r="A16" s="19"/>
      <c r="B16" s="15" t="s">
        <v>11</v>
      </c>
      <c r="C16" s="16"/>
      <c r="D16" s="16"/>
      <c r="E16" s="16"/>
      <c r="F16" s="16"/>
      <c r="G16" s="16"/>
      <c r="H16" s="16"/>
      <c r="I16" s="16"/>
      <c r="J16" s="16"/>
      <c r="K16" s="16"/>
      <c r="L16" s="17"/>
    </row>
    <row r="17" spans="1:12" s="18" customFormat="1" ht="15" customHeight="1">
      <c r="A17" s="19"/>
      <c r="B17" s="16"/>
      <c r="C17" s="86" t="s">
        <v>51</v>
      </c>
      <c r="D17" s="86"/>
      <c r="E17" s="86"/>
      <c r="F17" s="86"/>
      <c r="G17" s="86"/>
      <c r="H17" s="86"/>
      <c r="I17" s="86"/>
      <c r="J17" s="86"/>
      <c r="K17" s="86"/>
      <c r="L17" s="87"/>
    </row>
    <row r="18" spans="1:12" s="32" customFormat="1" ht="99" customHeight="1">
      <c r="A18" s="30"/>
      <c r="B18" s="31"/>
      <c r="C18" s="84" t="s">
        <v>40</v>
      </c>
      <c r="D18" s="84"/>
      <c r="E18" s="84"/>
      <c r="F18" s="84"/>
      <c r="G18" s="84"/>
      <c r="H18" s="84"/>
      <c r="I18" s="84"/>
      <c r="J18" s="84"/>
      <c r="K18" s="84"/>
      <c r="L18" s="85"/>
    </row>
    <row r="19" spans="1:12" s="18" customFormat="1" ht="20.25" customHeight="1">
      <c r="A19" s="19"/>
      <c r="B19" s="16"/>
      <c r="C19" s="88" t="s">
        <v>30</v>
      </c>
      <c r="D19" s="88"/>
      <c r="E19" s="88"/>
      <c r="F19" s="88"/>
      <c r="G19" s="88"/>
      <c r="H19" s="88"/>
      <c r="I19" s="88"/>
      <c r="J19" s="88"/>
      <c r="K19" s="88"/>
      <c r="L19" s="89"/>
    </row>
    <row r="20" spans="1:12" s="32" customFormat="1" ht="58.5" customHeight="1">
      <c r="A20" s="30"/>
      <c r="B20" s="31"/>
      <c r="C20" s="84" t="s">
        <v>33</v>
      </c>
      <c r="D20" s="84"/>
      <c r="E20" s="84"/>
      <c r="F20" s="84"/>
      <c r="G20" s="84"/>
      <c r="H20" s="84"/>
      <c r="I20" s="84"/>
      <c r="J20" s="84"/>
      <c r="K20" s="84"/>
      <c r="L20" s="85"/>
    </row>
    <row r="21" spans="1:12" s="32" customFormat="1" ht="22.5" customHeight="1">
      <c r="A21" s="30"/>
      <c r="B21" s="31"/>
      <c r="C21" s="84" t="s">
        <v>35</v>
      </c>
      <c r="D21" s="84"/>
      <c r="E21" s="84"/>
      <c r="F21" s="84"/>
      <c r="G21" s="84"/>
      <c r="H21" s="84"/>
      <c r="I21" s="84"/>
      <c r="J21" s="84"/>
      <c r="K21" s="84"/>
      <c r="L21" s="85"/>
    </row>
    <row r="22" spans="1:12" s="18" customFormat="1" ht="19.5" customHeight="1">
      <c r="A22" s="35"/>
      <c r="B22" s="36"/>
      <c r="C22" s="90" t="s">
        <v>31</v>
      </c>
      <c r="D22" s="90"/>
      <c r="E22" s="90"/>
      <c r="F22" s="90"/>
      <c r="G22" s="90"/>
      <c r="H22" s="90"/>
      <c r="I22" s="90"/>
      <c r="J22" s="90"/>
      <c r="K22" s="90"/>
      <c r="L22" s="91"/>
    </row>
    <row r="23" spans="1:12" s="32" customFormat="1" ht="22.5" customHeight="1">
      <c r="A23" s="30"/>
      <c r="B23" s="31"/>
      <c r="C23" s="84" t="s">
        <v>32</v>
      </c>
      <c r="D23" s="84"/>
      <c r="E23" s="84"/>
      <c r="F23" s="84"/>
      <c r="G23" s="84"/>
      <c r="H23" s="84"/>
      <c r="I23" s="84"/>
      <c r="J23" s="84"/>
      <c r="K23" s="84"/>
      <c r="L23" s="85"/>
    </row>
    <row r="24" spans="1:12" s="32" customFormat="1" ht="22.5" customHeight="1">
      <c r="A24" s="30"/>
      <c r="B24" s="31"/>
      <c r="C24" s="84" t="s">
        <v>53</v>
      </c>
      <c r="D24" s="84"/>
      <c r="E24" s="84"/>
      <c r="F24" s="84"/>
      <c r="G24" s="84"/>
      <c r="H24" s="84"/>
      <c r="I24" s="84"/>
      <c r="J24" s="84"/>
      <c r="K24" s="84"/>
      <c r="L24" s="85"/>
    </row>
    <row r="25" spans="1:12" s="32" customFormat="1" ht="26.25" customHeight="1">
      <c r="A25" s="30"/>
      <c r="B25" s="31"/>
      <c r="C25" s="84" t="s">
        <v>36</v>
      </c>
      <c r="D25" s="84"/>
      <c r="E25" s="84"/>
      <c r="F25" s="84"/>
      <c r="G25" s="84"/>
      <c r="H25" s="84"/>
      <c r="I25" s="84"/>
      <c r="J25" s="84"/>
      <c r="K25" s="84"/>
      <c r="L25" s="85"/>
    </row>
    <row r="26" spans="1:12" s="32" customFormat="1" ht="72.75" customHeight="1">
      <c r="A26" s="30"/>
      <c r="B26" s="31"/>
      <c r="C26" s="84" t="s">
        <v>34</v>
      </c>
      <c r="D26" s="84"/>
      <c r="E26" s="84"/>
      <c r="F26" s="84"/>
      <c r="G26" s="84"/>
      <c r="H26" s="84"/>
      <c r="I26" s="84"/>
      <c r="J26" s="84"/>
      <c r="K26" s="84"/>
      <c r="L26" s="85"/>
    </row>
    <row r="27" spans="1:12" s="32" customFormat="1" ht="41.25" customHeight="1">
      <c r="A27" s="30"/>
      <c r="B27" s="31"/>
      <c r="C27" s="84" t="s">
        <v>37</v>
      </c>
      <c r="D27" s="84"/>
      <c r="E27" s="84"/>
      <c r="F27" s="84"/>
      <c r="G27" s="84"/>
      <c r="H27" s="84"/>
      <c r="I27" s="84"/>
      <c r="J27" s="84"/>
      <c r="K27" s="84"/>
      <c r="L27" s="85"/>
    </row>
    <row r="28" spans="1:12" s="32" customFormat="1" ht="60.75" customHeight="1">
      <c r="A28" s="30"/>
      <c r="B28" s="31"/>
      <c r="C28" s="84" t="s">
        <v>41</v>
      </c>
      <c r="D28" s="84"/>
      <c r="E28" s="84"/>
      <c r="F28" s="84"/>
      <c r="G28" s="84"/>
      <c r="H28" s="84"/>
      <c r="I28" s="84"/>
      <c r="J28" s="84"/>
      <c r="K28" s="84"/>
      <c r="L28" s="85"/>
    </row>
    <row r="29" spans="1:12" s="32" customFormat="1" ht="33.75" customHeight="1">
      <c r="A29" s="30"/>
      <c r="B29" s="31"/>
      <c r="C29" s="84" t="s">
        <v>52</v>
      </c>
      <c r="D29" s="84"/>
      <c r="E29" s="84"/>
      <c r="F29" s="84"/>
      <c r="G29" s="84"/>
      <c r="H29" s="84"/>
      <c r="I29" s="84"/>
      <c r="J29" s="84"/>
      <c r="K29" s="84"/>
      <c r="L29" s="85"/>
    </row>
    <row r="30" spans="1:12" s="28" customFormat="1" ht="21.75" customHeight="1">
      <c r="A30" s="21"/>
      <c r="B30" s="33"/>
      <c r="C30" s="34"/>
      <c r="D30" s="84" t="s">
        <v>26</v>
      </c>
      <c r="E30" s="84"/>
      <c r="F30" s="84"/>
      <c r="G30" s="84"/>
      <c r="H30" s="84"/>
      <c r="I30" s="84"/>
      <c r="J30" s="84"/>
      <c r="K30" s="84"/>
      <c r="L30" s="85"/>
    </row>
    <row r="31" spans="1:12" s="28" customFormat="1" ht="21.75" customHeight="1">
      <c r="A31" s="21"/>
      <c r="B31" s="33"/>
      <c r="C31" s="34"/>
      <c r="D31" s="84" t="s">
        <v>27</v>
      </c>
      <c r="E31" s="84"/>
      <c r="F31" s="84"/>
      <c r="G31" s="84"/>
      <c r="H31" s="84"/>
      <c r="I31" s="84"/>
      <c r="J31" s="84"/>
      <c r="K31" s="84"/>
      <c r="L31" s="85"/>
    </row>
    <row r="32" spans="1:12" s="28" customFormat="1" ht="21.75" customHeight="1">
      <c r="A32" s="21"/>
      <c r="B32" s="33"/>
      <c r="C32" s="34"/>
      <c r="D32" s="84" t="s">
        <v>28</v>
      </c>
      <c r="E32" s="84"/>
      <c r="F32" s="84"/>
      <c r="G32" s="84"/>
      <c r="H32" s="84"/>
      <c r="I32" s="84"/>
      <c r="J32" s="84"/>
      <c r="K32" s="84"/>
      <c r="L32" s="85"/>
    </row>
    <row r="33" spans="1:12" s="28" customFormat="1" ht="21.75" customHeight="1">
      <c r="A33" s="21"/>
      <c r="B33" s="33"/>
      <c r="C33" s="34"/>
      <c r="D33" s="84" t="s">
        <v>44</v>
      </c>
      <c r="E33" s="84"/>
      <c r="F33" s="84"/>
      <c r="G33" s="84"/>
      <c r="H33" s="84"/>
      <c r="I33" s="84"/>
      <c r="J33" s="84"/>
      <c r="K33" s="84"/>
      <c r="L33" s="85"/>
    </row>
    <row r="34" spans="1:12" s="28" customFormat="1" ht="21.75" customHeight="1">
      <c r="A34" s="21"/>
      <c r="B34" s="33"/>
      <c r="C34" s="34"/>
      <c r="D34" s="84" t="s">
        <v>38</v>
      </c>
      <c r="E34" s="84"/>
      <c r="F34" s="84"/>
      <c r="G34" s="84"/>
      <c r="H34" s="84"/>
      <c r="I34" s="84"/>
      <c r="J34" s="84"/>
      <c r="K34" s="84"/>
      <c r="L34" s="85"/>
    </row>
    <row r="35" spans="1:12" s="28" customFormat="1" ht="31.5" customHeight="1">
      <c r="A35" s="21"/>
      <c r="B35" s="33"/>
      <c r="C35" s="34"/>
      <c r="D35" s="84" t="s">
        <v>29</v>
      </c>
      <c r="E35" s="84"/>
      <c r="F35" s="84"/>
      <c r="G35" s="84"/>
      <c r="H35" s="84"/>
      <c r="I35" s="84"/>
      <c r="J35" s="84"/>
      <c r="K35" s="84"/>
      <c r="L35" s="85"/>
    </row>
    <row r="36" spans="1:12" s="18" customFormat="1" ht="22.5" customHeight="1">
      <c r="A36" s="64"/>
      <c r="B36" s="61" t="s">
        <v>63</v>
      </c>
      <c r="C36" s="16"/>
      <c r="D36" s="16"/>
      <c r="E36" s="16"/>
      <c r="F36" s="16"/>
      <c r="G36" s="16"/>
      <c r="H36" s="16"/>
      <c r="I36" s="16"/>
      <c r="J36" s="16"/>
      <c r="K36" s="16"/>
      <c r="L36" s="17"/>
    </row>
    <row r="37" spans="1:12">
      <c r="A37" s="65"/>
      <c r="B37" s="62"/>
      <c r="C37" s="62"/>
      <c r="D37" s="62"/>
      <c r="E37" s="62"/>
      <c r="F37" s="62"/>
      <c r="G37" s="62"/>
      <c r="H37" s="62"/>
      <c r="I37" s="62"/>
      <c r="J37" s="62"/>
      <c r="K37" s="62"/>
      <c r="L37" s="63"/>
    </row>
    <row r="38" spans="1:12">
      <c r="A38" s="65"/>
      <c r="B38" s="62"/>
      <c r="C38" s="62"/>
      <c r="D38" s="62"/>
      <c r="E38" s="62"/>
      <c r="F38" s="62"/>
      <c r="G38" s="62"/>
      <c r="H38" s="62"/>
      <c r="I38" s="62"/>
      <c r="J38" s="62"/>
      <c r="K38" s="62"/>
      <c r="L38" s="63"/>
    </row>
    <row r="39" spans="1:12">
      <c r="A39" s="65"/>
      <c r="B39" s="62"/>
      <c r="C39" s="62"/>
      <c r="D39" s="62"/>
      <c r="E39" s="62"/>
      <c r="F39" s="62"/>
      <c r="G39" s="62"/>
      <c r="H39" s="62"/>
      <c r="I39" s="62"/>
      <c r="J39" s="62"/>
      <c r="K39" s="62"/>
      <c r="L39" s="63"/>
    </row>
    <row r="40" spans="1:12">
      <c r="A40" s="65"/>
      <c r="B40" s="62"/>
      <c r="C40" s="62"/>
      <c r="D40" s="62"/>
      <c r="E40" s="62"/>
      <c r="F40" s="62"/>
      <c r="G40" s="62"/>
      <c r="H40" s="62"/>
      <c r="I40" s="62"/>
      <c r="J40" s="62"/>
      <c r="K40" s="62"/>
      <c r="L40" s="63"/>
    </row>
    <row r="41" spans="1:12">
      <c r="A41" s="65"/>
      <c r="B41" s="62"/>
      <c r="C41" s="62"/>
      <c r="D41" s="62"/>
      <c r="E41" s="62"/>
      <c r="F41" s="62"/>
      <c r="G41" s="62"/>
      <c r="H41" s="62"/>
      <c r="I41" s="62"/>
      <c r="J41" s="62"/>
      <c r="K41" s="62"/>
      <c r="L41" s="63"/>
    </row>
    <row r="42" spans="1:12">
      <c r="A42" s="65"/>
      <c r="B42" s="62"/>
      <c r="C42" s="62"/>
      <c r="D42" s="62"/>
      <c r="E42" s="62"/>
      <c r="F42" s="62"/>
      <c r="G42" s="62"/>
      <c r="H42" s="62"/>
      <c r="I42" s="62"/>
      <c r="J42" s="62"/>
      <c r="K42" s="62"/>
      <c r="L42" s="63"/>
    </row>
    <row r="43" spans="1:12">
      <c r="A43" s="65"/>
      <c r="B43" s="62"/>
      <c r="C43" s="62"/>
      <c r="D43" s="62"/>
      <c r="E43" s="62"/>
      <c r="F43" s="62"/>
      <c r="G43" s="62"/>
      <c r="H43" s="62"/>
      <c r="I43" s="62"/>
      <c r="J43" s="62"/>
      <c r="K43" s="62"/>
      <c r="L43" s="63"/>
    </row>
    <row r="44" spans="1:12">
      <c r="A44" s="65"/>
      <c r="B44" s="62"/>
      <c r="C44" s="62"/>
      <c r="D44" s="62"/>
      <c r="E44" s="62"/>
      <c r="F44" s="62"/>
      <c r="G44" s="62"/>
      <c r="H44" s="62"/>
      <c r="I44" s="62"/>
      <c r="J44" s="62"/>
      <c r="K44" s="62"/>
      <c r="L44" s="63"/>
    </row>
    <row r="45" spans="1:12">
      <c r="A45" s="65"/>
      <c r="B45" s="62"/>
      <c r="C45" s="62"/>
      <c r="D45" s="62"/>
      <c r="E45" s="62"/>
      <c r="F45" s="62"/>
      <c r="G45" s="62"/>
      <c r="H45" s="62"/>
      <c r="I45" s="62"/>
      <c r="J45" s="62"/>
      <c r="K45" s="62"/>
      <c r="L45" s="63"/>
    </row>
    <row r="46" spans="1:12">
      <c r="A46" s="65"/>
      <c r="B46" s="62"/>
      <c r="C46" s="62"/>
      <c r="D46" s="62"/>
      <c r="E46" s="62"/>
      <c r="F46" s="62"/>
      <c r="G46" s="62"/>
      <c r="H46" s="62"/>
      <c r="I46" s="62"/>
      <c r="J46" s="62"/>
      <c r="K46" s="62"/>
      <c r="L46" s="63"/>
    </row>
    <row r="47" spans="1:12">
      <c r="A47" s="65"/>
      <c r="B47" s="62"/>
      <c r="C47" s="62"/>
      <c r="D47" s="62"/>
      <c r="E47" s="62"/>
      <c r="F47" s="62"/>
      <c r="G47" s="62"/>
      <c r="H47" s="62"/>
      <c r="I47" s="62"/>
      <c r="J47" s="62"/>
      <c r="K47" s="62"/>
      <c r="L47" s="63"/>
    </row>
    <row r="48" spans="1:12">
      <c r="A48" s="65"/>
      <c r="B48" s="62"/>
      <c r="C48" s="62"/>
      <c r="D48" s="62"/>
      <c r="E48" s="62"/>
      <c r="F48" s="62"/>
      <c r="G48" s="62"/>
      <c r="H48" s="62"/>
      <c r="I48" s="62"/>
      <c r="J48" s="62"/>
      <c r="K48" s="62"/>
      <c r="L48" s="63"/>
    </row>
    <row r="49" spans="1:12">
      <c r="A49" s="65"/>
      <c r="B49" s="62"/>
      <c r="C49" s="62"/>
      <c r="D49" s="62"/>
      <c r="E49" s="62"/>
      <c r="F49" s="62"/>
      <c r="G49" s="62"/>
      <c r="H49" s="62"/>
      <c r="I49" s="62"/>
      <c r="J49" s="62"/>
      <c r="K49" s="62"/>
      <c r="L49" s="63"/>
    </row>
    <row r="50" spans="1:12">
      <c r="A50" s="65"/>
      <c r="B50" s="62"/>
      <c r="C50" s="62"/>
      <c r="D50" s="62"/>
      <c r="E50" s="62"/>
      <c r="F50" s="62"/>
      <c r="G50" s="62"/>
      <c r="H50" s="62"/>
      <c r="I50" s="62"/>
      <c r="J50" s="62"/>
      <c r="K50" s="62"/>
      <c r="L50" s="63"/>
    </row>
    <row r="51" spans="1:12">
      <c r="A51" s="65"/>
      <c r="B51" s="62"/>
      <c r="C51" s="62"/>
      <c r="D51" s="62"/>
      <c r="E51" s="62"/>
      <c r="F51" s="62"/>
      <c r="G51" s="62"/>
      <c r="H51" s="62"/>
      <c r="I51" s="62"/>
      <c r="J51" s="62"/>
      <c r="K51" s="62"/>
      <c r="L51" s="63"/>
    </row>
    <row r="52" spans="1:12">
      <c r="A52" s="65"/>
      <c r="B52" s="62"/>
      <c r="C52" s="62"/>
      <c r="D52" s="62"/>
      <c r="E52" s="62"/>
      <c r="F52" s="62"/>
      <c r="G52" s="62"/>
      <c r="H52" s="62"/>
      <c r="I52" s="62"/>
      <c r="J52" s="62"/>
      <c r="K52" s="62"/>
      <c r="L52" s="63"/>
    </row>
    <row r="53" spans="1:12">
      <c r="A53" s="65"/>
      <c r="B53" s="62"/>
      <c r="C53" s="62"/>
      <c r="D53" s="62"/>
      <c r="E53" s="62"/>
      <c r="F53" s="62"/>
      <c r="G53" s="62"/>
      <c r="H53" s="62"/>
      <c r="I53" s="62"/>
      <c r="J53" s="62"/>
      <c r="K53" s="62"/>
      <c r="L53" s="63"/>
    </row>
    <row r="54" spans="1:12">
      <c r="A54" s="65"/>
      <c r="B54" s="62"/>
      <c r="C54" s="62"/>
      <c r="D54" s="62"/>
      <c r="E54" s="62"/>
      <c r="F54" s="62"/>
      <c r="G54" s="62"/>
      <c r="H54" s="62"/>
      <c r="I54" s="62"/>
      <c r="J54" s="62"/>
      <c r="K54" s="62"/>
      <c r="L54" s="63"/>
    </row>
    <row r="55" spans="1:12">
      <c r="A55" s="65"/>
      <c r="B55" s="62"/>
      <c r="C55" s="62"/>
      <c r="D55" s="62"/>
      <c r="E55" s="62"/>
      <c r="F55" s="62"/>
      <c r="G55" s="62"/>
      <c r="H55" s="62"/>
      <c r="I55" s="62"/>
      <c r="J55" s="62"/>
      <c r="K55" s="62"/>
      <c r="L55" s="63"/>
    </row>
    <row r="56" spans="1:12">
      <c r="A56" s="65"/>
      <c r="B56" s="62"/>
      <c r="C56" s="62"/>
      <c r="D56" s="62"/>
      <c r="E56" s="62"/>
      <c r="F56" s="62"/>
      <c r="G56" s="62"/>
      <c r="H56" s="62"/>
      <c r="I56" s="62"/>
      <c r="J56" s="62"/>
      <c r="K56" s="62"/>
      <c r="L56" s="63"/>
    </row>
    <row r="57" spans="1:12">
      <c r="A57" s="65"/>
      <c r="B57" s="62"/>
      <c r="C57" s="62"/>
      <c r="D57" s="62"/>
      <c r="E57" s="62"/>
      <c r="F57" s="62"/>
      <c r="G57" s="62"/>
      <c r="H57" s="62"/>
      <c r="I57" s="62"/>
      <c r="J57" s="62"/>
      <c r="K57" s="62"/>
      <c r="L57" s="63"/>
    </row>
    <row r="58" spans="1:12">
      <c r="A58" s="65"/>
      <c r="B58" s="62"/>
      <c r="C58" s="62"/>
      <c r="D58" s="62"/>
      <c r="E58" s="62"/>
      <c r="F58" s="62"/>
      <c r="G58" s="62"/>
      <c r="H58" s="62"/>
      <c r="I58" s="62"/>
      <c r="J58" s="62"/>
      <c r="K58" s="62"/>
      <c r="L58" s="63"/>
    </row>
    <row r="59" spans="1:12">
      <c r="A59" s="65"/>
      <c r="B59" s="62"/>
      <c r="C59" s="62"/>
      <c r="D59" s="62"/>
      <c r="E59" s="62"/>
      <c r="F59" s="62"/>
      <c r="G59" s="62"/>
      <c r="H59" s="62"/>
      <c r="I59" s="62"/>
      <c r="J59" s="62"/>
      <c r="K59" s="62"/>
      <c r="L59" s="63"/>
    </row>
    <row r="60" spans="1:12">
      <c r="A60" s="65"/>
      <c r="B60" s="62"/>
      <c r="C60" s="62"/>
      <c r="D60" s="62"/>
      <c r="E60" s="62"/>
      <c r="F60" s="62"/>
      <c r="G60" s="62"/>
      <c r="H60" s="62"/>
      <c r="I60" s="62"/>
      <c r="J60" s="62"/>
      <c r="K60" s="62"/>
      <c r="L60" s="63"/>
    </row>
    <row r="61" spans="1:12">
      <c r="A61" s="65"/>
      <c r="B61" s="62"/>
      <c r="C61" s="62"/>
      <c r="D61" s="62"/>
      <c r="E61" s="62"/>
      <c r="F61" s="62"/>
      <c r="G61" s="62"/>
      <c r="H61" s="62"/>
      <c r="I61" s="62"/>
      <c r="J61" s="62"/>
      <c r="K61" s="62"/>
      <c r="L61" s="63"/>
    </row>
    <row r="62" spans="1:12">
      <c r="A62" s="65"/>
      <c r="B62" s="62"/>
      <c r="C62" s="62"/>
      <c r="D62" s="62"/>
      <c r="E62" s="62"/>
      <c r="F62" s="62"/>
      <c r="G62" s="62"/>
      <c r="H62" s="62"/>
      <c r="I62" s="62"/>
      <c r="J62" s="62"/>
      <c r="K62" s="62"/>
      <c r="L62" s="63"/>
    </row>
    <row r="63" spans="1:12">
      <c r="A63" s="65"/>
      <c r="B63" s="62"/>
      <c r="C63" s="62"/>
      <c r="D63" s="62"/>
      <c r="E63" s="62"/>
      <c r="F63" s="62"/>
      <c r="G63" s="62"/>
      <c r="H63" s="62"/>
      <c r="I63" s="62"/>
      <c r="J63" s="62"/>
      <c r="K63" s="62"/>
      <c r="L63" s="63"/>
    </row>
    <row r="64" spans="1:12">
      <c r="A64" s="65"/>
      <c r="B64" s="62"/>
      <c r="C64" s="62"/>
      <c r="D64" s="62"/>
      <c r="E64" s="62"/>
      <c r="F64" s="62"/>
      <c r="G64" s="62"/>
      <c r="H64" s="62"/>
      <c r="I64" s="62"/>
      <c r="J64" s="62"/>
      <c r="K64" s="62"/>
      <c r="L64" s="63"/>
    </row>
    <row r="65" spans="1:12">
      <c r="A65" s="65"/>
      <c r="B65" s="62"/>
      <c r="C65" s="62"/>
      <c r="D65" s="62"/>
      <c r="E65" s="62"/>
      <c r="F65" s="62"/>
      <c r="G65" s="62"/>
      <c r="H65" s="62"/>
      <c r="I65" s="62"/>
      <c r="J65" s="62"/>
      <c r="K65" s="62"/>
      <c r="L65" s="63"/>
    </row>
    <row r="66" spans="1:12">
      <c r="A66" s="65"/>
      <c r="B66" s="62"/>
      <c r="C66" s="62"/>
      <c r="D66" s="62"/>
      <c r="E66" s="62"/>
      <c r="F66" s="62"/>
      <c r="G66" s="62"/>
      <c r="H66" s="62"/>
      <c r="I66" s="62"/>
      <c r="J66" s="62"/>
      <c r="K66" s="62"/>
      <c r="L66" s="63"/>
    </row>
    <row r="67" spans="1:12">
      <c r="A67" s="65"/>
      <c r="B67" s="62"/>
      <c r="C67" s="62"/>
      <c r="D67" s="62"/>
      <c r="E67" s="62"/>
      <c r="F67" s="62"/>
      <c r="G67" s="62"/>
      <c r="H67" s="62"/>
      <c r="I67" s="62"/>
      <c r="J67" s="62"/>
      <c r="K67" s="62"/>
      <c r="L67" s="63"/>
    </row>
    <row r="68" spans="1:12">
      <c r="A68" s="65"/>
      <c r="B68" s="62"/>
      <c r="C68" s="62"/>
      <c r="D68" s="62"/>
      <c r="E68" s="62"/>
      <c r="F68" s="62"/>
      <c r="G68" s="62"/>
      <c r="H68" s="62"/>
      <c r="I68" s="62"/>
      <c r="J68" s="62"/>
      <c r="K68" s="62"/>
      <c r="L68" s="63"/>
    </row>
    <row r="69" spans="1:12">
      <c r="A69" s="65"/>
      <c r="B69" s="62"/>
      <c r="C69" s="62"/>
      <c r="D69" s="62"/>
      <c r="E69" s="62"/>
      <c r="F69" s="62"/>
      <c r="G69" s="62"/>
      <c r="H69" s="62"/>
      <c r="I69" s="62"/>
      <c r="J69" s="62"/>
      <c r="K69" s="62"/>
      <c r="L69" s="63"/>
    </row>
    <row r="70" spans="1:12">
      <c r="A70" s="65"/>
      <c r="B70" s="62"/>
      <c r="C70" s="62"/>
      <c r="D70" s="62"/>
      <c r="E70" s="62"/>
      <c r="F70" s="62"/>
      <c r="G70" s="62"/>
      <c r="H70" s="62"/>
      <c r="I70" s="62"/>
      <c r="J70" s="62"/>
      <c r="K70" s="62"/>
      <c r="L70" s="63"/>
    </row>
    <row r="71" spans="1:12">
      <c r="A71" s="65"/>
      <c r="B71" s="62"/>
      <c r="C71" s="62"/>
      <c r="D71" s="62"/>
      <c r="E71" s="62"/>
      <c r="F71" s="62"/>
      <c r="G71" s="62"/>
      <c r="H71" s="62"/>
      <c r="I71" s="62"/>
      <c r="J71" s="62"/>
      <c r="K71" s="62"/>
      <c r="L71" s="63"/>
    </row>
    <row r="72" spans="1:12">
      <c r="A72" s="65"/>
      <c r="B72" s="62"/>
      <c r="C72" s="62"/>
      <c r="D72" s="62"/>
      <c r="E72" s="62"/>
      <c r="F72" s="62"/>
      <c r="G72" s="62"/>
      <c r="H72" s="62"/>
      <c r="I72" s="62"/>
      <c r="J72" s="62"/>
      <c r="K72" s="62"/>
      <c r="L72" s="63"/>
    </row>
    <row r="73" spans="1:12">
      <c r="A73" s="65"/>
      <c r="B73" s="62"/>
      <c r="C73" s="62"/>
      <c r="D73" s="62"/>
      <c r="E73" s="62"/>
      <c r="F73" s="62"/>
      <c r="G73" s="62"/>
      <c r="H73" s="62"/>
      <c r="I73" s="62"/>
      <c r="J73" s="62"/>
      <c r="K73" s="62"/>
      <c r="L73" s="63"/>
    </row>
    <row r="74" spans="1:12">
      <c r="A74" s="65"/>
      <c r="B74" s="62"/>
      <c r="C74" s="62"/>
      <c r="D74" s="62"/>
      <c r="E74" s="62"/>
      <c r="F74" s="62"/>
      <c r="G74" s="62"/>
      <c r="H74" s="62"/>
      <c r="I74" s="62"/>
      <c r="J74" s="62"/>
      <c r="K74" s="62"/>
      <c r="L74" s="63"/>
    </row>
    <row r="75" spans="1:12">
      <c r="A75" s="65"/>
      <c r="B75" s="62"/>
      <c r="C75" s="62"/>
      <c r="D75" s="62"/>
      <c r="E75" s="62"/>
      <c r="F75" s="62"/>
      <c r="G75" s="62"/>
      <c r="H75" s="62"/>
      <c r="I75" s="62"/>
      <c r="J75" s="62"/>
      <c r="K75" s="62"/>
      <c r="L75" s="63"/>
    </row>
    <row r="76" spans="1:12">
      <c r="A76" s="65"/>
      <c r="B76" s="62"/>
      <c r="C76" s="62"/>
      <c r="D76" s="62"/>
      <c r="E76" s="62"/>
      <c r="F76" s="62"/>
      <c r="G76" s="62"/>
      <c r="H76" s="62"/>
      <c r="I76" s="62"/>
      <c r="J76" s="62"/>
      <c r="K76" s="62"/>
      <c r="L76" s="63"/>
    </row>
    <row r="77" spans="1:12">
      <c r="A77" s="65"/>
      <c r="B77" s="62"/>
      <c r="C77" s="62"/>
      <c r="D77" s="62"/>
      <c r="E77" s="62"/>
      <c r="F77" s="62"/>
      <c r="G77" s="62"/>
      <c r="H77" s="62"/>
      <c r="I77" s="62"/>
      <c r="J77" s="62"/>
      <c r="K77" s="62"/>
      <c r="L77" s="63"/>
    </row>
    <row r="78" spans="1:12">
      <c r="A78" s="65"/>
      <c r="B78" s="62"/>
      <c r="C78" s="62"/>
      <c r="D78" s="62"/>
      <c r="E78" s="62"/>
      <c r="F78" s="62"/>
      <c r="G78" s="62"/>
      <c r="H78" s="62"/>
      <c r="I78" s="62"/>
      <c r="J78" s="62"/>
      <c r="K78" s="62"/>
      <c r="L78" s="63"/>
    </row>
    <row r="79" spans="1:12">
      <c r="A79" s="65"/>
      <c r="B79" s="62"/>
      <c r="C79" s="62"/>
      <c r="D79" s="62"/>
      <c r="E79" s="62"/>
      <c r="F79" s="62"/>
      <c r="G79" s="62"/>
      <c r="H79" s="62"/>
      <c r="I79" s="62"/>
      <c r="J79" s="62"/>
      <c r="K79" s="62"/>
      <c r="L79" s="63"/>
    </row>
    <row r="80" spans="1:12">
      <c r="A80" s="65"/>
      <c r="B80" s="62"/>
      <c r="C80" s="62"/>
      <c r="D80" s="62"/>
      <c r="E80" s="62"/>
      <c r="F80" s="62"/>
      <c r="G80" s="62"/>
      <c r="H80" s="62"/>
      <c r="I80" s="62"/>
      <c r="J80" s="62"/>
      <c r="K80" s="62"/>
      <c r="L80" s="63"/>
    </row>
    <row r="81" spans="1:12">
      <c r="A81" s="65"/>
      <c r="B81" s="62"/>
      <c r="C81" s="62"/>
      <c r="D81" s="62"/>
      <c r="E81" s="62"/>
      <c r="F81" s="62"/>
      <c r="G81" s="62"/>
      <c r="H81" s="62"/>
      <c r="I81" s="62"/>
      <c r="J81" s="62"/>
      <c r="K81" s="62"/>
      <c r="L81" s="63"/>
    </row>
    <row r="82" spans="1:12">
      <c r="A82" s="65"/>
      <c r="B82" s="62"/>
      <c r="C82" s="62"/>
      <c r="D82" s="62"/>
      <c r="E82" s="62"/>
      <c r="F82" s="62"/>
      <c r="G82" s="62"/>
      <c r="H82" s="62"/>
      <c r="I82" s="62"/>
      <c r="J82" s="62"/>
      <c r="K82" s="62"/>
      <c r="L82" s="63"/>
    </row>
    <row r="83" spans="1:12">
      <c r="A83" s="66"/>
      <c r="B83" s="37"/>
      <c r="C83" s="37"/>
      <c r="D83" s="37"/>
      <c r="E83" s="37"/>
      <c r="F83" s="37"/>
      <c r="G83" s="37"/>
      <c r="H83" s="37"/>
      <c r="I83" s="37"/>
      <c r="J83" s="37"/>
      <c r="K83" s="37"/>
      <c r="L83" s="38"/>
    </row>
  </sheetData>
  <mergeCells count="20">
    <mergeCell ref="D32:L32"/>
    <mergeCell ref="D31:L31"/>
    <mergeCell ref="D30:L30"/>
    <mergeCell ref="C26:L26"/>
    <mergeCell ref="D35:L35"/>
    <mergeCell ref="D34:L34"/>
    <mergeCell ref="D33:L33"/>
    <mergeCell ref="C29:L29"/>
    <mergeCell ref="C27:L27"/>
    <mergeCell ref="A1:L1"/>
    <mergeCell ref="C20:L20"/>
    <mergeCell ref="C17:L17"/>
    <mergeCell ref="C28:L28"/>
    <mergeCell ref="C21:L21"/>
    <mergeCell ref="C25:L25"/>
    <mergeCell ref="C24:L24"/>
    <mergeCell ref="C18:L18"/>
    <mergeCell ref="C19:L19"/>
    <mergeCell ref="C22:L22"/>
    <mergeCell ref="C23:L23"/>
  </mergeCells>
  <phoneticPr fontId="8" type="noConversion"/>
  <pageMargins left="0.28000000000000003" right="0.18" top="0.26" bottom="0.63" header="0" footer="0.31"/>
  <pageSetup paperSize="9" orientation="portrait" r:id="rId1"/>
  <headerFooter alignWithMargins="0">
    <oddFooter>&amp;L&amp;"Tahoma,Regular"49e-BM/PM/HDCV/FSOFT v2/1&amp;C&amp;"Tahoma,Regular"Internal use&amp;R&amp;"Tahoma,Regular"&amp;P/&amp;N</oddFooter>
  </headerFooter>
  <drawing r:id="rId2"/>
  <legacyDrawing r:id="rId3"/>
  <oleObjects>
    <mc:AlternateContent xmlns:mc="http://schemas.openxmlformats.org/markup-compatibility/2006">
      <mc:Choice Requires="x14">
        <oleObject progId="Visio.Drawing.11" shapeId="7585" r:id="rId4">
          <objectPr defaultSize="0" autoPict="0" r:id="rId5">
            <anchor moveWithCells="1">
              <from>
                <xdr:col>0</xdr:col>
                <xdr:colOff>114300</xdr:colOff>
                <xdr:row>36</xdr:row>
                <xdr:rowOff>31750</xdr:rowOff>
              </from>
              <to>
                <xdr:col>11</xdr:col>
                <xdr:colOff>679450</xdr:colOff>
                <xdr:row>81</xdr:row>
                <xdr:rowOff>114300</xdr:rowOff>
              </to>
            </anchor>
          </objectPr>
        </oleObject>
      </mc:Choice>
      <mc:Fallback>
        <oleObject progId="Visio.Drawing.11" shapeId="7585" r:id="rId4"/>
      </mc:Fallback>
    </mc:AlternateContent>
  </oleObjec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18"/>
  <sheetViews>
    <sheetView showGridLines="0" tabSelected="1" view="pageBreakPreview" zoomScaleNormal="100" zoomScaleSheetLayoutView="100" workbookViewId="0"/>
  </sheetViews>
  <sheetFormatPr defaultColWidth="9.1796875" defaultRowHeight="12.5"/>
  <cols>
    <col min="1" max="1" width="3.26953125" style="11" bestFit="1" customWidth="1"/>
    <col min="2" max="2" width="22.54296875" style="11" customWidth="1"/>
    <col min="3" max="3" width="20" style="54" customWidth="1"/>
    <col min="4" max="4" width="16.54296875" style="11" customWidth="1"/>
    <col min="5" max="5" width="27.81640625" style="11" customWidth="1"/>
    <col min="6" max="6" width="8" style="11" customWidth="1"/>
    <col min="7" max="7" width="10.26953125" style="11" bestFit="1" customWidth="1"/>
    <col min="8" max="8" width="9.81640625" style="11" bestFit="1" customWidth="1"/>
    <col min="9" max="9" width="11" style="11" customWidth="1"/>
    <col min="10" max="10" width="9.453125" style="11" bestFit="1" customWidth="1"/>
    <col min="11" max="11" width="12.26953125" style="11" customWidth="1"/>
    <col min="12" max="12" width="10" style="54" bestFit="1" customWidth="1"/>
    <col min="13" max="14" width="16.81640625" style="54" customWidth="1"/>
    <col min="15" max="15" width="14.453125" style="54" bestFit="1" customWidth="1"/>
    <col min="16" max="16" width="12.54296875" style="54" hidden="1" customWidth="1"/>
    <col min="17" max="17" width="12.453125" style="11" customWidth="1"/>
    <col min="18" max="18" width="8.81640625" style="11" hidden="1" customWidth="1"/>
    <col min="19" max="19" width="9.453125" style="11" hidden="1" customWidth="1"/>
    <col min="20" max="16384" width="9.1796875" style="11"/>
  </cols>
  <sheetData>
    <row r="1" spans="1:19" s="4" customFormat="1" ht="18">
      <c r="A1" s="2"/>
      <c r="B1" s="2"/>
      <c r="C1" s="2" t="s">
        <v>54</v>
      </c>
      <c r="D1" s="2"/>
      <c r="E1" s="2"/>
      <c r="F1" s="2"/>
      <c r="G1" s="2"/>
      <c r="H1" s="2"/>
      <c r="I1" s="2"/>
      <c r="J1" s="2"/>
      <c r="K1" s="2"/>
      <c r="L1" s="48"/>
      <c r="M1" s="48"/>
      <c r="N1" s="48"/>
      <c r="O1" s="48"/>
      <c r="P1" s="48"/>
      <c r="Q1" s="3"/>
      <c r="R1" s="2"/>
      <c r="S1" s="2"/>
    </row>
    <row r="2" spans="1:19" s="6" customFormat="1" ht="12.75" customHeight="1">
      <c r="A2" s="1"/>
      <c r="B2" s="1"/>
      <c r="C2" s="49"/>
      <c r="D2" s="1"/>
      <c r="E2" s="1"/>
      <c r="F2" s="1"/>
      <c r="G2" s="1"/>
      <c r="H2" s="1"/>
      <c r="I2" s="1"/>
      <c r="J2" s="1"/>
      <c r="K2" s="1"/>
      <c r="L2" s="49"/>
      <c r="M2" s="49"/>
      <c r="N2" s="49"/>
      <c r="O2" s="49"/>
      <c r="P2" s="49"/>
      <c r="Q2" s="5"/>
      <c r="R2" s="1"/>
      <c r="S2" s="1"/>
    </row>
    <row r="3" spans="1:19" s="6" customFormat="1" ht="12.75" customHeight="1">
      <c r="C3" s="76" t="s">
        <v>60</v>
      </c>
      <c r="D3" s="68"/>
      <c r="G3" s="1"/>
      <c r="H3" s="1"/>
      <c r="I3" s="1"/>
      <c r="J3" s="1"/>
      <c r="K3" s="1"/>
      <c r="L3" s="49"/>
      <c r="M3" s="49"/>
      <c r="N3" s="49"/>
      <c r="O3" s="49"/>
      <c r="P3" s="49"/>
      <c r="Q3" s="5"/>
      <c r="R3" s="1"/>
      <c r="S3" s="1"/>
    </row>
    <row r="4" spans="1:19" s="6" customFormat="1" ht="12.75" customHeight="1">
      <c r="C4" s="7" t="s">
        <v>46</v>
      </c>
      <c r="D4" s="69"/>
      <c r="G4" s="1"/>
      <c r="H4" s="1"/>
      <c r="I4" s="1"/>
      <c r="J4" s="1"/>
      <c r="K4" s="1"/>
      <c r="L4" s="49"/>
      <c r="M4" s="49"/>
      <c r="N4" s="49"/>
      <c r="O4" s="49"/>
      <c r="P4" s="49"/>
      <c r="Q4" s="5"/>
      <c r="R4" s="1"/>
      <c r="S4" s="1"/>
    </row>
    <row r="5" spans="1:19" s="6" customFormat="1" ht="12.75" customHeight="1">
      <c r="C5" s="6" t="s">
        <v>45</v>
      </c>
      <c r="D5" s="55">
        <f ca="1" xml:space="preserve"> NOW()</f>
        <v>43487.746085185187</v>
      </c>
      <c r="G5" s="1"/>
      <c r="H5" s="1"/>
      <c r="I5" s="1"/>
      <c r="J5" s="1"/>
      <c r="K5" s="1"/>
      <c r="L5" s="49"/>
      <c r="M5" s="49"/>
      <c r="N5" s="49"/>
      <c r="O5" s="49"/>
      <c r="P5" s="49"/>
      <c r="Q5" s="5"/>
      <c r="R5" s="1"/>
      <c r="S5" s="1"/>
    </row>
    <row r="6" spans="1:19" s="6" customFormat="1" ht="12.75" customHeight="1">
      <c r="C6" s="7"/>
      <c r="D6" s="8"/>
      <c r="G6" s="1"/>
      <c r="H6" s="1"/>
      <c r="I6" s="1"/>
      <c r="J6" s="1"/>
      <c r="K6" s="1"/>
      <c r="L6" s="49"/>
      <c r="M6" s="49"/>
      <c r="N6" s="49"/>
      <c r="O6" s="49"/>
      <c r="P6" s="49"/>
      <c r="Q6" s="5"/>
      <c r="R6" s="1"/>
      <c r="S6" s="1"/>
    </row>
    <row r="7" spans="1:19" s="9" customFormat="1">
      <c r="C7" s="59" t="s">
        <v>47</v>
      </c>
      <c r="D7" s="56">
        <f>COUNTIF(L:L, "Open")</f>
        <v>1</v>
      </c>
      <c r="L7" s="50"/>
      <c r="M7" s="50"/>
      <c r="N7" s="50"/>
      <c r="O7" s="50"/>
      <c r="P7" s="50"/>
    </row>
    <row r="8" spans="1:19" s="9" customFormat="1">
      <c r="C8" s="58" t="s">
        <v>48</v>
      </c>
      <c r="D8" s="56">
        <f>COUNTIF(L:L, "In progress")</f>
        <v>0</v>
      </c>
      <c r="L8" s="50"/>
      <c r="M8" s="50"/>
      <c r="N8" s="50"/>
      <c r="O8" s="50"/>
      <c r="P8" s="50"/>
    </row>
    <row r="9" spans="1:19" s="9" customFormat="1">
      <c r="C9" s="60" t="s">
        <v>49</v>
      </c>
      <c r="D9" s="56">
        <f>COUNTIF(L:L, "Closed")</f>
        <v>0</v>
      </c>
      <c r="L9" s="50"/>
      <c r="M9" s="50"/>
      <c r="N9" s="50"/>
      <c r="O9" s="50"/>
      <c r="P9" s="50"/>
    </row>
    <row r="10" spans="1:19" s="9" customFormat="1">
      <c r="C10" s="60" t="s">
        <v>50</v>
      </c>
      <c r="D10" s="56">
        <f>COUNTIF(L:L, "Cancelled")</f>
        <v>0</v>
      </c>
      <c r="L10" s="50"/>
      <c r="M10" s="50"/>
      <c r="N10" s="50"/>
      <c r="O10" s="50"/>
      <c r="P10" s="50"/>
    </row>
    <row r="11" spans="1:19" s="10" customFormat="1" ht="13">
      <c r="C11" s="40" t="s">
        <v>6</v>
      </c>
      <c r="D11" s="57">
        <f>SUM(D7:D10)</f>
        <v>1</v>
      </c>
      <c r="L11" s="51"/>
      <c r="M11" s="51"/>
      <c r="N11" s="51"/>
      <c r="O11" s="51"/>
      <c r="P11" s="51"/>
    </row>
    <row r="13" spans="1:19" s="42" customFormat="1" ht="11.5">
      <c r="A13" s="41" t="s">
        <v>18</v>
      </c>
      <c r="B13" s="41" t="s">
        <v>61</v>
      </c>
      <c r="C13" s="41" t="s">
        <v>20</v>
      </c>
      <c r="D13" s="41"/>
      <c r="E13" s="41" t="s">
        <v>1</v>
      </c>
      <c r="F13" s="41" t="s">
        <v>2</v>
      </c>
      <c r="G13" s="52" t="s">
        <v>5</v>
      </c>
      <c r="H13" s="41" t="s">
        <v>4</v>
      </c>
      <c r="I13" s="41" t="s">
        <v>21</v>
      </c>
      <c r="J13" s="52" t="s">
        <v>22</v>
      </c>
      <c r="K13" s="52" t="s">
        <v>7</v>
      </c>
      <c r="L13" s="41" t="s">
        <v>3</v>
      </c>
      <c r="M13" s="41" t="s">
        <v>23</v>
      </c>
      <c r="N13" s="41" t="s">
        <v>62</v>
      </c>
      <c r="O13" s="41" t="s">
        <v>24</v>
      </c>
      <c r="P13" s="41" t="s">
        <v>19</v>
      </c>
      <c r="Q13" s="41" t="s">
        <v>0</v>
      </c>
      <c r="R13" s="41" t="s">
        <v>25</v>
      </c>
      <c r="S13" s="41" t="s">
        <v>39</v>
      </c>
    </row>
    <row r="14" spans="1:19" s="75" customFormat="1" ht="62.25" customHeight="1">
      <c r="A14" s="70">
        <v>1</v>
      </c>
      <c r="B14" s="77"/>
      <c r="C14" s="92"/>
      <c r="D14" s="93"/>
      <c r="E14" s="71"/>
      <c r="F14" s="72" t="s">
        <v>57</v>
      </c>
      <c r="G14" s="55">
        <f ca="1" xml:space="preserve"> NOW()</f>
        <v>43487.746085185187</v>
      </c>
      <c r="H14" s="72"/>
      <c r="I14" s="72"/>
      <c r="J14" s="73"/>
      <c r="K14" s="73"/>
      <c r="L14" s="72" t="s">
        <v>56</v>
      </c>
      <c r="M14" s="71"/>
      <c r="N14" s="71"/>
      <c r="O14" s="72" t="s">
        <v>59</v>
      </c>
      <c r="P14" s="71"/>
      <c r="Q14" s="72" t="s">
        <v>58</v>
      </c>
      <c r="R14" s="71"/>
      <c r="S14" s="74"/>
    </row>
    <row r="15" spans="1:19" s="47" customFormat="1" ht="36.75" customHeight="1">
      <c r="A15" s="43"/>
      <c r="B15" s="78"/>
      <c r="C15" s="94"/>
      <c r="D15" s="95"/>
      <c r="E15" s="45"/>
      <c r="F15" s="44"/>
      <c r="G15" s="53"/>
      <c r="H15" s="44"/>
      <c r="I15" s="44"/>
      <c r="J15" s="53"/>
      <c r="K15" s="53"/>
      <c r="L15" s="67"/>
      <c r="M15" s="45"/>
      <c r="N15" s="45"/>
      <c r="O15" s="44"/>
      <c r="P15" s="45"/>
      <c r="Q15" s="44"/>
      <c r="R15" s="45"/>
      <c r="S15" s="46"/>
    </row>
    <row r="16" spans="1:19" s="47" customFormat="1" ht="36.75" customHeight="1">
      <c r="A16" s="43"/>
      <c r="B16" s="78"/>
      <c r="C16" s="94"/>
      <c r="D16" s="95"/>
      <c r="E16" s="45"/>
      <c r="F16" s="44"/>
      <c r="G16" s="53"/>
      <c r="H16" s="44"/>
      <c r="I16" s="44"/>
      <c r="J16" s="53"/>
      <c r="K16" s="53"/>
      <c r="L16" s="44"/>
      <c r="M16" s="45"/>
      <c r="N16" s="45"/>
      <c r="O16" s="44"/>
      <c r="P16" s="45"/>
      <c r="Q16" s="44"/>
      <c r="R16" s="45"/>
      <c r="S16" s="46"/>
    </row>
    <row r="17" spans="1:19" s="47" customFormat="1" ht="36.75" customHeight="1">
      <c r="A17" s="43"/>
      <c r="B17" s="78"/>
      <c r="C17" s="79"/>
      <c r="D17" s="80"/>
      <c r="E17" s="45"/>
      <c r="F17" s="44"/>
      <c r="G17" s="53"/>
      <c r="H17" s="44"/>
      <c r="I17" s="44"/>
      <c r="J17" s="53"/>
      <c r="K17" s="53"/>
      <c r="L17" s="44"/>
      <c r="M17" s="45"/>
      <c r="N17" s="45"/>
      <c r="O17" s="44"/>
      <c r="P17" s="45"/>
      <c r="Q17" s="44"/>
      <c r="R17" s="45"/>
      <c r="S17" s="46"/>
    </row>
    <row r="18" spans="1:19" s="47" customFormat="1" ht="36.75" customHeight="1">
      <c r="A18" s="43"/>
      <c r="B18" s="78"/>
      <c r="C18" s="94"/>
      <c r="D18" s="95"/>
      <c r="E18" s="45"/>
      <c r="F18" s="44"/>
      <c r="G18" s="53"/>
      <c r="H18" s="44"/>
      <c r="I18" s="44"/>
      <c r="J18" s="53"/>
      <c r="K18" s="53"/>
      <c r="L18" s="44"/>
      <c r="M18" s="45"/>
      <c r="N18" s="45"/>
      <c r="O18" s="44"/>
      <c r="P18" s="45"/>
      <c r="Q18" s="44"/>
      <c r="R18" s="45"/>
      <c r="S18" s="46"/>
    </row>
  </sheetData>
  <mergeCells count="4">
    <mergeCell ref="C14:D14"/>
    <mergeCell ref="C15:D15"/>
    <mergeCell ref="C16:D16"/>
    <mergeCell ref="C18:D18"/>
  </mergeCells>
  <phoneticPr fontId="0" type="noConversion"/>
  <conditionalFormatting sqref="A14:C14 E14:F14 H14:IX14 C16:C17 E15:IX18">
    <cfRule type="expression" dxfId="53" priority="52" stopIfTrue="1">
      <formula>($L14="In Progress")</formula>
    </cfRule>
    <cfRule type="expression" dxfId="52" priority="53" stopIfTrue="1">
      <formula>($L14="Closed")</formula>
    </cfRule>
    <cfRule type="expression" dxfId="51" priority="54" stopIfTrue="1">
      <formula>($L14="Cancelled")</formula>
    </cfRule>
  </conditionalFormatting>
  <conditionalFormatting sqref="A15:C15">
    <cfRule type="expression" dxfId="50" priority="49" stopIfTrue="1">
      <formula>($L15="In Progress")</formula>
    </cfRule>
    <cfRule type="expression" dxfId="49" priority="50" stopIfTrue="1">
      <formula>($L15="Closed")</formula>
    </cfRule>
    <cfRule type="expression" dxfId="48" priority="51" stopIfTrue="1">
      <formula>($L15="Cancelled")</formula>
    </cfRule>
  </conditionalFormatting>
  <conditionalFormatting sqref="C15:C17">
    <cfRule type="expression" dxfId="47" priority="46" stopIfTrue="1">
      <formula>($L15="In Progress")</formula>
    </cfRule>
    <cfRule type="expression" dxfId="46" priority="47" stopIfTrue="1">
      <formula>($L15="Closed")</formula>
    </cfRule>
    <cfRule type="expression" dxfId="45" priority="48" stopIfTrue="1">
      <formula>($L15="Cancelled")</formula>
    </cfRule>
  </conditionalFormatting>
  <conditionalFormatting sqref="A16:C17">
    <cfRule type="expression" dxfId="44" priority="43" stopIfTrue="1">
      <formula>($L16="In Progress")</formula>
    </cfRule>
    <cfRule type="expression" dxfId="43" priority="44" stopIfTrue="1">
      <formula>($L16="Closed")</formula>
    </cfRule>
    <cfRule type="expression" dxfId="42" priority="45" stopIfTrue="1">
      <formula>($L16="Cancelled")</formula>
    </cfRule>
  </conditionalFormatting>
  <conditionalFormatting sqref="C16:C17">
    <cfRule type="expression" dxfId="41" priority="40" stopIfTrue="1">
      <formula>($L16="In Progress")</formula>
    </cfRule>
    <cfRule type="expression" dxfId="40" priority="41" stopIfTrue="1">
      <formula>($L16="Closed")</formula>
    </cfRule>
    <cfRule type="expression" dxfId="39" priority="42" stopIfTrue="1">
      <formula>($L16="Cancelled")</formula>
    </cfRule>
  </conditionalFormatting>
  <conditionalFormatting sqref="C16:C17">
    <cfRule type="expression" dxfId="38" priority="37" stopIfTrue="1">
      <formula>($L16="In Progress")</formula>
    </cfRule>
    <cfRule type="expression" dxfId="37" priority="38" stopIfTrue="1">
      <formula>($L16="Closed")</formula>
    </cfRule>
    <cfRule type="expression" dxfId="36" priority="39" stopIfTrue="1">
      <formula>($L16="Cancelled")</formula>
    </cfRule>
  </conditionalFormatting>
  <conditionalFormatting sqref="A18:C18">
    <cfRule type="expression" dxfId="35" priority="34" stopIfTrue="1">
      <formula>($L18="In Progress")</formula>
    </cfRule>
    <cfRule type="expression" dxfId="34" priority="35" stopIfTrue="1">
      <formula>($L18="Closed")</formula>
    </cfRule>
    <cfRule type="expression" dxfId="33" priority="36" stopIfTrue="1">
      <formula>($L18="Cancelled")</formula>
    </cfRule>
  </conditionalFormatting>
  <conditionalFormatting sqref="C18">
    <cfRule type="expression" dxfId="32" priority="31" stopIfTrue="1">
      <formula>($L18="In Progress")</formula>
    </cfRule>
    <cfRule type="expression" dxfId="31" priority="32" stopIfTrue="1">
      <formula>($L18="Closed")</formula>
    </cfRule>
    <cfRule type="expression" dxfId="30" priority="33" stopIfTrue="1">
      <formula>($L18="Cancelled")</formula>
    </cfRule>
  </conditionalFormatting>
  <conditionalFormatting sqref="C18">
    <cfRule type="expression" dxfId="29" priority="28" stopIfTrue="1">
      <formula>($L18="In Progress")</formula>
    </cfRule>
    <cfRule type="expression" dxfId="28" priority="29" stopIfTrue="1">
      <formula>($L18="Closed")</formula>
    </cfRule>
    <cfRule type="expression" dxfId="27" priority="30" stopIfTrue="1">
      <formula>($L18="Cancelled")</formula>
    </cfRule>
  </conditionalFormatting>
  <conditionalFormatting sqref="J15">
    <cfRule type="expression" dxfId="26" priority="25" stopIfTrue="1">
      <formula>($L15="In Progress")</formula>
    </cfRule>
    <cfRule type="expression" dxfId="25" priority="26" stopIfTrue="1">
      <formula>($L15="Closed")</formula>
    </cfRule>
    <cfRule type="expression" dxfId="24" priority="27" stopIfTrue="1">
      <formula>($L15="Cancelled")</formula>
    </cfRule>
  </conditionalFormatting>
  <conditionalFormatting sqref="J16:J17">
    <cfRule type="expression" dxfId="23" priority="22" stopIfTrue="1">
      <formula>($L16="In Progress")</formula>
    </cfRule>
    <cfRule type="expression" dxfId="22" priority="23" stopIfTrue="1">
      <formula>($L16="Closed")</formula>
    </cfRule>
    <cfRule type="expression" dxfId="21" priority="24" stopIfTrue="1">
      <formula>($L16="Cancelled")</formula>
    </cfRule>
  </conditionalFormatting>
  <conditionalFormatting sqref="J18">
    <cfRule type="expression" dxfId="20" priority="19" stopIfTrue="1">
      <formula>($L18="In Progress")</formula>
    </cfRule>
    <cfRule type="expression" dxfId="19" priority="20" stopIfTrue="1">
      <formula>($L18="Closed")</formula>
    </cfRule>
    <cfRule type="expression" dxfId="18" priority="21" stopIfTrue="1">
      <formula>($L18="Cancelled")</formula>
    </cfRule>
  </conditionalFormatting>
  <conditionalFormatting sqref="K15">
    <cfRule type="expression" dxfId="17" priority="16" stopIfTrue="1">
      <formula>($L15="In Progress")</formula>
    </cfRule>
    <cfRule type="expression" dxfId="16" priority="17" stopIfTrue="1">
      <formula>($L15="Closed")</formula>
    </cfRule>
    <cfRule type="expression" dxfId="15" priority="18" stopIfTrue="1">
      <formula>($L15="Cancelled")</formula>
    </cfRule>
  </conditionalFormatting>
  <conditionalFormatting sqref="K15">
    <cfRule type="expression" dxfId="14" priority="13" stopIfTrue="1">
      <formula>($L15="In Progress")</formula>
    </cfRule>
    <cfRule type="expression" dxfId="13" priority="14" stopIfTrue="1">
      <formula>($L15="Closed")</formula>
    </cfRule>
    <cfRule type="expression" dxfId="12" priority="15" stopIfTrue="1">
      <formula>($L15="Cancelled")</formula>
    </cfRule>
  </conditionalFormatting>
  <conditionalFormatting sqref="K16:K17">
    <cfRule type="expression" dxfId="11" priority="10" stopIfTrue="1">
      <formula>($L16="In Progress")</formula>
    </cfRule>
    <cfRule type="expression" dxfId="10" priority="11" stopIfTrue="1">
      <formula>($L16="Closed")</formula>
    </cfRule>
    <cfRule type="expression" dxfId="9" priority="12" stopIfTrue="1">
      <formula>($L16="Cancelled")</formula>
    </cfRule>
  </conditionalFormatting>
  <conditionalFormatting sqref="K16:K17">
    <cfRule type="expression" dxfId="8" priority="7" stopIfTrue="1">
      <formula>($L16="In Progress")</formula>
    </cfRule>
    <cfRule type="expression" dxfId="7" priority="8" stopIfTrue="1">
      <formula>($L16="Closed")</formula>
    </cfRule>
    <cfRule type="expression" dxfId="6" priority="9" stopIfTrue="1">
      <formula>($L16="Cancelled")</formula>
    </cfRule>
  </conditionalFormatting>
  <conditionalFormatting sqref="K18">
    <cfRule type="expression" dxfId="5" priority="4" stopIfTrue="1">
      <formula>($L18="In Progress")</formula>
    </cfRule>
    <cfRule type="expression" dxfId="4" priority="5" stopIfTrue="1">
      <formula>($L18="Closed")</formula>
    </cfRule>
    <cfRule type="expression" dxfId="3" priority="6" stopIfTrue="1">
      <formula>($L18="Cancelled")</formula>
    </cfRule>
  </conditionalFormatting>
  <conditionalFormatting sqref="K18">
    <cfRule type="expression" dxfId="2" priority="1" stopIfTrue="1">
      <formula>($L18="In Progress")</formula>
    </cfRule>
    <cfRule type="expression" dxfId="1" priority="2" stopIfTrue="1">
      <formula>($L18="Closed")</formula>
    </cfRule>
    <cfRule type="expression" dxfId="0" priority="3" stopIfTrue="1">
      <formula>($L18="Cancelled")</formula>
    </cfRule>
  </conditionalFormatting>
  <dataValidations count="4">
    <dataValidation type="list" allowBlank="1" showInputMessage="1" showErrorMessage="1" sqref="L14:L18">
      <formula1>"Open,In progress,Closed,Cancelled"</formula1>
    </dataValidation>
    <dataValidation type="list" allowBlank="1" showInputMessage="1" showErrorMessage="1" sqref="O14:O18">
      <formula1>"Clarification,Confirmation,Customer Defect"</formula1>
    </dataValidation>
    <dataValidation type="list" allowBlank="1" showInputMessage="1" showErrorMessage="1" sqref="Q14:Q18">
      <formula1>"Requirement,Design,Coding,Deployment,Test,Project management"</formula1>
    </dataValidation>
    <dataValidation type="list" allowBlank="1" showInputMessage="1" showErrorMessage="1" sqref="F14:F18">
      <formula1>"High,Medium,Low"</formula1>
    </dataValidation>
  </dataValidations>
  <pageMargins left="0.17" right="0.17" top="0.3" bottom="0.34" header="0.17" footer="0.17"/>
  <pageSetup scale="59" orientation="landscape" r:id="rId1"/>
  <headerFooter alignWithMargins="0">
    <oddFooter>&amp;L49e-BM/PM/HDCV/FSOFT v2/1&amp;CInternal use&amp;R&amp;P/&amp;N</oddFoot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B9C9A6E0697EB4EAE3D8E67B35E0A4B" ma:contentTypeVersion="12" ma:contentTypeDescription="Create a new document." ma:contentTypeScope="" ma:versionID="8a3cf667a66e5cb9028063b23197570b">
  <xsd:schema xmlns:xsd="http://www.w3.org/2001/XMLSchema" xmlns:xs="http://www.w3.org/2001/XMLSchema" xmlns:p="http://schemas.microsoft.com/office/2006/metadata/properties" xmlns:ns2="bbce4d81-c214-454b-b0d8-2da250ea90dc" xmlns:ns3="0d4fff1b-0a10-4a15-9ca7-59a90c79698d" targetNamespace="http://schemas.microsoft.com/office/2006/metadata/properties" ma:root="true" ma:fieldsID="9296922aee73cceeb443a40966fbc71a" ns2:_="" ns3:_="">
    <xsd:import namespace="bbce4d81-c214-454b-b0d8-2da250ea90dc"/>
    <xsd:import namespace="0d4fff1b-0a10-4a15-9ca7-59a90c79698d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AutoTags" minOccurs="0"/>
                <xsd:element ref="ns2:MediaServiceOCR" minOccurs="0"/>
                <xsd:element ref="ns2:MediaServiceDateTaken" minOccurs="0"/>
                <xsd:element ref="ns2:MediaServiceAutoKeyPoints" minOccurs="0"/>
                <xsd:element ref="ns2:MediaServiceKeyPoints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bce4d81-c214-454b-b0d8-2da250ea90d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4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KeyPoints" ma:index="15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6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9" nillable="true" ma:displayName="Length (seconds)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d4fff1b-0a10-4a15-9ca7-59a90c79698d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4.xml><?xml version="1.0" encoding="utf-8"?>
<LongProperties xmlns="http://schemas.microsoft.com/office/2006/metadata/longProperties"/>
</file>

<file path=customXml/itemProps1.xml><?xml version="1.0" encoding="utf-8"?>
<ds:datastoreItem xmlns:ds="http://schemas.openxmlformats.org/officeDocument/2006/customXml" ds:itemID="{71D3D0B5-C910-4FAB-9F8D-3E5B6399E518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CFC07356-D603-416C-8C81-F311026D617A}">
  <ds:schemaRefs>
    <ds:schemaRef ds:uri="http://schemas.microsoft.com/office/2006/metadata/properties"/>
    <ds:schemaRef ds:uri="http://schemas.microsoft.com/office/infopath/2007/PartnerControls"/>
    <ds:schemaRef ds:uri="39654bf5-8cb6-49d7-b382-1965c8f15b8f"/>
  </ds:schemaRefs>
</ds:datastoreItem>
</file>

<file path=customXml/itemProps3.xml><?xml version="1.0" encoding="utf-8"?>
<ds:datastoreItem xmlns:ds="http://schemas.openxmlformats.org/officeDocument/2006/customXml" ds:itemID="{F008AF58-47D8-4C16-9876-6EC95BA93A9D}"/>
</file>

<file path=customXml/itemProps4.xml><?xml version="1.0" encoding="utf-8"?>
<ds:datastoreItem xmlns:ds="http://schemas.openxmlformats.org/officeDocument/2006/customXml" ds:itemID="{AF5300FC-4E10-403A-960E-03ABFD234B68}">
  <ds:schemaRefs>
    <ds:schemaRef ds:uri="http://schemas.microsoft.com/office/2006/metadata/longPropertie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</vt:i4>
      </vt:variant>
    </vt:vector>
  </HeadingPairs>
  <TitlesOfParts>
    <vt:vector size="4" baseType="lpstr">
      <vt:lpstr>Guideline</vt:lpstr>
      <vt:lpstr>Q&amp;A Management Sheet</vt:lpstr>
      <vt:lpstr>Guideline!Print_Area</vt:lpstr>
      <vt:lpstr>'Q&amp;A Management Sheet'!Print_Titles</vt:lpstr>
    </vt:vector>
  </TitlesOfParts>
  <Manager>Thuydt3</Manager>
  <Company>FPT Software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QA Management sheet</dc:title>
  <dc:subject/>
  <dc:creator>Thuy Dang</dc:creator>
  <dc:description>- Sheet Guideline: Update guideline follow the change of Template_x000d_
- Sheet Q&amp;A Management Sheet: Move Answer column to the next of Question column, re-arrange other column_x000d_
- Reset page</dc:description>
  <cp:lastModifiedBy>Nguyen Vu Hung (DTL.BA)</cp:lastModifiedBy>
  <cp:lastPrinted>2010-04-01T19:43:25Z</cp:lastPrinted>
  <dcterms:created xsi:type="dcterms:W3CDTF">1996-10-14T23:33:28Z</dcterms:created>
  <dcterms:modified xsi:type="dcterms:W3CDTF">2019-01-22T10:54:37Z</dcterms:modified>
  <cp:category>Template</cp:category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Priority">
    <vt:lpwstr/>
  </property>
  <property fmtid="{D5CDD505-2E9C-101B-9397-08002B2CF9AE}" pid="3" name="ContentType">
    <vt:lpwstr>Document</vt:lpwstr>
  </property>
  <property fmtid="{D5CDD505-2E9C-101B-9397-08002B2CF9AE}" pid="4" name="ContentTypeId">
    <vt:lpwstr>0x010100DB9C9A6E0697EB4EAE3D8E67B35E0A4B</vt:lpwstr>
  </property>
</Properties>
</file>