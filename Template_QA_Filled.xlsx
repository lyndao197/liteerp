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450" tabRatio="600" firstSheet="0" activeTab="1" autoFilterDateGrouping="1"/>
  </bookViews>
  <sheets>
    <sheet name="Guideline" sheetId="1" state="visible" r:id="rId1"/>
    <sheet name="Q&amp;A Management Sheet" sheetId="2" state="visible" r:id="rId2"/>
  </sheets>
  <definedNames>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wrn.HCDN_全印刷." hidden="1">{"HCDN_注釈以外",#N/A,FALSE,"10.0対応";"HCDN_注釈",#N/A,FALSE,"10.0対応";"HCDN_注釈以外",#N/A,FALSE,"9.0対応";"HCDN_注釈",#N/A,FALSE,"9.0対応";#N/A,#N/A,FALSE,"ﾏﾆｭｱﾙ一覧";#N/A,#N/A,FALSE,"ﾏﾆｭｱﾙ一覧 (2)"}</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Z_41442F1C_71A4_447E_AF0E_8FB51FC7D99F_.wvu.Cols" hidden="1">#REF!,#REF!,#REF!,#REF!</definedName>
    <definedName name="Z_41442F1C_71A4_447E_AF0E_8FB51FC7D99F_.wvu.PrintArea" hidden="1">#REF!</definedName>
    <definedName name="Z_95018DD7_A252_45F5_975C_C5433E2F88AC_.wvu.Cols" hidden="1">#REF!,#REF!</definedName>
    <definedName name="Z_95018DD7_A252_45F5_975C_C5433E2F88AC_.wvu.PrintArea" hidden="1">#REF!</definedName>
    <definedName name="Z_D062575E_61A0_4998_AF07_E741A5E67EFF_.wvu.Cols" hidden="1">#REF!</definedName>
    <definedName name="Z_D062575E_61A0_4998_AF07_E741A5E67EFF_.wvu.PrintArea" hidden="1">#REF!</definedName>
    <definedName name="_xlnm.Print_Area" localSheetId="0">'Guideline'!$A$1:$L$84</definedName>
    <definedName name="_xlnm.Print_Titles" localSheetId="1">'Q&amp;A Management Sheet'!$13:$13</definedName>
  </definedNames>
  <calcPr calcId="162913" fullCalcOnLoad="1"/>
</workbook>
</file>

<file path=xl/styles.xml><?xml version="1.0" encoding="utf-8"?>
<styleSheet xmlns="http://schemas.openxmlformats.org/spreadsheetml/2006/main">
  <numFmts count="6">
    <numFmt numFmtId="164" formatCode="mmmm\ d\,\ yyyy"/>
    <numFmt numFmtId="165" formatCode="[$-409]d/mmm/yy;@"/>
    <numFmt numFmtId="166" formatCode="&quot;¥&quot;#,##0;[Red]&quot;¥&quot;\-#,##0"/>
    <numFmt numFmtId="167" formatCode="#,##0;[Red]#,##0"/>
    <numFmt numFmtId="168" formatCode="#,##0_ "/>
    <numFmt numFmtId="169" formatCode="&quot;¥&quot;#,##0.00;[Red]&quot;¥&quot;\-#,##0.00"/>
  </numFmts>
  <fonts count="22">
    <font>
      <name val="Arial"/>
      <family val="2"/>
      <sz val="10"/>
    </font>
    <font>
      <name val="Arial"/>
      <family val="2"/>
      <b val="1"/>
      <sz val="10"/>
    </font>
    <font>
      <name val="Arial"/>
      <family val="2"/>
      <color indexed="12"/>
      <sz val="10"/>
      <u val="single"/>
    </font>
    <font>
      <name val="ＭＳ Ｐゴシック"/>
      <charset val="128"/>
      <family val="3"/>
      <sz val="11"/>
    </font>
    <font>
      <name val="ＭＳ Ｐゴシック"/>
      <charset val="128"/>
      <family val="3"/>
      <sz val="10.5"/>
    </font>
    <font>
      <name val="Arial"/>
      <family val="2"/>
      <b val="1"/>
      <sz val="12"/>
    </font>
    <font>
      <name val="ＭＳ ゴシック"/>
      <charset val="128"/>
      <family val="3"/>
      <sz val="10"/>
    </font>
    <font>
      <name val="ＭＳ Ｐ明朝"/>
      <charset val="128"/>
      <family val="1"/>
      <sz val="11"/>
    </font>
    <font>
      <name val="Arial"/>
      <sz val="10"/>
    </font>
    <font>
      <name val="Arial"/>
      <family val="2"/>
      <b val="1"/>
      <color indexed="12"/>
      <sz val="10"/>
    </font>
    <font>
      <name val="Arial"/>
      <family val="2"/>
      <b val="1"/>
      <color indexed="56"/>
      <sz val="14"/>
    </font>
    <font>
      <name val="Arial"/>
      <family val="2"/>
      <sz val="10"/>
    </font>
    <font>
      <name val="Arial"/>
      <family val="2"/>
      <b val="1"/>
      <sz val="14"/>
    </font>
    <font>
      <name val="Arial"/>
      <family val="2"/>
      <sz val="10"/>
    </font>
    <font>
      <name val="Arial"/>
      <family val="2"/>
      <sz val="14"/>
    </font>
    <font>
      <name val="Arial"/>
      <family val="2"/>
      <i val="1"/>
      <sz val="10"/>
      <u val="single"/>
    </font>
    <font>
      <name val="Arial"/>
      <family val="2"/>
      <sz val="9"/>
    </font>
    <font>
      <name val="Arial"/>
      <family val="2"/>
      <sz val="10"/>
    </font>
    <font>
      <name val="Arial"/>
      <family val="2"/>
      <b val="1"/>
      <color indexed="9"/>
      <sz val="9"/>
    </font>
    <font>
      <name val="Arial"/>
      <family val="2"/>
      <color indexed="12"/>
      <sz val="9"/>
      <u val="single"/>
    </font>
    <font>
      <name val="Arial"/>
      <family val="2"/>
      <b val="1"/>
      <sz val="11"/>
    </font>
    <font>
      <name val="Arial"/>
      <family val="2"/>
      <b val="1"/>
      <color rgb="FF0070C0"/>
      <sz val="9"/>
    </font>
  </fonts>
  <fills count="6">
    <fill>
      <patternFill/>
    </fill>
    <fill>
      <patternFill patternType="gray125"/>
    </fill>
    <fill>
      <patternFill patternType="solid">
        <fgColor indexed="43"/>
        <bgColor indexed="64"/>
      </patternFill>
    </fill>
    <fill>
      <patternFill patternType="solid">
        <fgColor indexed="41"/>
        <bgColor indexed="64"/>
      </patternFill>
    </fill>
    <fill>
      <patternFill patternType="solid">
        <fgColor indexed="18"/>
        <bgColor indexed="64"/>
      </patternFill>
    </fill>
    <fill>
      <patternFill patternType="solid">
        <fgColor indexed="22"/>
        <bgColor indexed="64"/>
      </patternFill>
    </fill>
  </fills>
  <borders count="18">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hair">
        <color indexed="23"/>
      </left>
      <right style="hair">
        <color indexed="23"/>
      </right>
      <top style="hair">
        <color indexed="23"/>
      </top>
      <bottom style="hair">
        <color indexed="23"/>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hair">
        <color indexed="23"/>
      </left>
      <right/>
      <top style="hair">
        <color indexed="23"/>
      </top>
      <bottom style="hair">
        <color indexed="23"/>
      </bottom>
      <diagonal/>
    </border>
    <border>
      <left/>
      <right style="hair">
        <color indexed="23"/>
      </right>
      <top style="hair">
        <color indexed="23"/>
      </top>
      <bottom style="hair">
        <color indexed="23"/>
      </bottom>
      <diagonal/>
    </border>
    <border>
      <left style="thin">
        <color indexed="64"/>
      </left>
      <right style="thin">
        <color indexed="64"/>
      </right>
      <top style="thin">
        <color indexed="64"/>
      </top>
      <bottom/>
      <diagonal/>
    </border>
    <border>
      <left/>
      <right/>
      <top style="hair">
        <color indexed="23"/>
      </top>
      <bottom/>
      <diagonal/>
    </border>
    <border>
      <left/>
      <right style="hair">
        <color indexed="23"/>
      </right>
      <top style="hair">
        <color indexed="23"/>
      </top>
      <bottom/>
      <diagonal/>
    </border>
  </borders>
  <cellStyleXfs count="11">
    <xf numFmtId="0" fontId="17" fillId="0" borderId="0"/>
    <xf numFmtId="166" fontId="3" fillId="0" borderId="0"/>
    <xf numFmtId="167" fontId="4" fillId="0" borderId="0"/>
    <xf numFmtId="0" fontId="5" fillId="0" borderId="1" applyAlignment="1">
      <alignment horizontal="left" vertical="center"/>
    </xf>
    <xf numFmtId="0" fontId="5" fillId="0" borderId="2" applyAlignment="1">
      <alignment horizontal="left" vertical="center"/>
    </xf>
    <xf numFmtId="0" fontId="2" fillId="0" borderId="0" applyAlignment="1" applyProtection="1">
      <alignment vertical="top"/>
      <protection locked="0" hidden="0"/>
    </xf>
    <xf numFmtId="0" fontId="8" fillId="0" borderId="0"/>
    <xf numFmtId="0" fontId="3" fillId="0" borderId="0"/>
    <xf numFmtId="0" fontId="3" fillId="0" borderId="0" applyAlignment="1">
      <alignment vertical="center"/>
    </xf>
    <xf numFmtId="168" fontId="7" fillId="2" borderId="3" applyAlignment="1">
      <alignment horizontal="left" vertical="top" wrapText="1"/>
    </xf>
    <xf numFmtId="169" fontId="6" fillId="0" borderId="0"/>
  </cellStyleXfs>
  <cellXfs count="111">
    <xf numFmtId="0" fontId="0" fillId="0" borderId="0" pivotButton="0" quotePrefix="0" xfId="0"/>
    <xf numFmtId="0" fontId="12" fillId="0" borderId="0" pivotButton="0" quotePrefix="0" xfId="0"/>
    <xf numFmtId="0" fontId="10" fillId="0" borderId="0" pivotButton="0" quotePrefix="0" xfId="0"/>
    <xf numFmtId="164" fontId="10" fillId="0" borderId="0" pivotButton="0" quotePrefix="0" xfId="0"/>
    <xf numFmtId="0" fontId="11" fillId="0" borderId="0" pivotButton="0" quotePrefix="0" xfId="0"/>
    <xf numFmtId="164" fontId="12" fillId="0" borderId="0" pivotButton="0" quotePrefix="0" xfId="0"/>
    <xf numFmtId="0" fontId="13" fillId="0" borderId="0" pivotButton="0" quotePrefix="0" xfId="0"/>
    <xf numFmtId="0" fontId="13" fillId="0" borderId="0" applyAlignment="1" pivotButton="0" quotePrefix="0" xfId="0">
      <alignment wrapText="1"/>
    </xf>
    <xf numFmtId="0" fontId="13" fillId="0" borderId="0" pivotButton="0" quotePrefix="0" xfId="0"/>
    <xf numFmtId="0" fontId="13" fillId="0" borderId="0" applyAlignment="1" pivotButton="0" quotePrefix="0" xfId="0">
      <alignment horizontal="left" wrapText="1"/>
    </xf>
    <xf numFmtId="0" fontId="11" fillId="0" borderId="0" applyAlignment="1" pivotButton="0" quotePrefix="0" xfId="0">
      <alignment horizontal="left" wrapText="1"/>
    </xf>
    <xf numFmtId="0" fontId="11" fillId="0" borderId="0" applyAlignment="1" pivotButton="0" quotePrefix="0" xfId="0">
      <alignment horizontal="left" wrapText="1"/>
    </xf>
    <xf numFmtId="0" fontId="13" fillId="0" borderId="0" pivotButton="0" quotePrefix="0" xfId="0"/>
    <xf numFmtId="0" fontId="12" fillId="0" borderId="0" pivotButton="0" quotePrefix="0" xfId="0"/>
    <xf numFmtId="0" fontId="13" fillId="0" borderId="4" pivotButton="0" quotePrefix="0" xfId="6"/>
    <xf numFmtId="0" fontId="1" fillId="0" borderId="0" applyAlignment="1" pivotButton="0" quotePrefix="0" xfId="6">
      <alignment vertical="center"/>
    </xf>
    <xf numFmtId="0" fontId="11" fillId="0" borderId="0" pivotButton="0" quotePrefix="0" xfId="6"/>
    <xf numFmtId="0" fontId="11" fillId="0" borderId="5" pivotButton="0" quotePrefix="0" xfId="6"/>
    <xf numFmtId="0" fontId="11" fillId="0" borderId="0" pivotButton="0" quotePrefix="0" xfId="6"/>
    <xf numFmtId="0" fontId="11" fillId="0" borderId="4" pivotButton="0" quotePrefix="0" xfId="6"/>
    <xf numFmtId="0" fontId="11" fillId="0" borderId="0" pivotButton="0" quotePrefix="0" xfId="6"/>
    <xf numFmtId="0" fontId="1" fillId="0" borderId="4" pivotButton="0" quotePrefix="0" xfId="0"/>
    <xf numFmtId="0" fontId="1" fillId="0" borderId="0" pivotButton="0" quotePrefix="0" xfId="0"/>
    <xf numFmtId="0" fontId="11" fillId="0" borderId="0" applyAlignment="1" pivotButton="0" quotePrefix="0" xfId="0">
      <alignment horizontal="right"/>
    </xf>
    <xf numFmtId="0" fontId="11" fillId="0" borderId="0" pivotButton="0" quotePrefix="0" xfId="0"/>
    <xf numFmtId="0" fontId="9" fillId="0" borderId="0" applyAlignment="1" pivotButton="0" quotePrefix="0" xfId="0">
      <alignment horizontal="left" vertical="center" wrapText="1"/>
    </xf>
    <xf numFmtId="0" fontId="9" fillId="0" borderId="0" applyAlignment="1" pivotButton="0" quotePrefix="0" xfId="0">
      <alignment horizontal="left" vertical="center"/>
    </xf>
    <xf numFmtId="0" fontId="11" fillId="0" borderId="5" pivotButton="0" quotePrefix="0" xfId="0"/>
    <xf numFmtId="0" fontId="11" fillId="0" borderId="0" pivotButton="0" quotePrefix="0" xfId="0"/>
    <xf numFmtId="0" fontId="11" fillId="0" borderId="0" pivotButton="0" quotePrefix="0" xfId="6"/>
    <xf numFmtId="0" fontId="14" fillId="0" borderId="4" applyAlignment="1" pivotButton="0" quotePrefix="0" xfId="0">
      <alignment horizontal="centerContinuous" vertical="center"/>
    </xf>
    <xf numFmtId="0" fontId="1" fillId="0" borderId="0" applyAlignment="1" pivotButton="0" quotePrefix="0" xfId="0">
      <alignment horizontal="left" vertical="center"/>
    </xf>
    <xf numFmtId="0" fontId="11" fillId="0" borderId="0" applyAlignment="1" pivotButton="0" quotePrefix="0" xfId="0">
      <alignment vertical="center"/>
    </xf>
    <xf numFmtId="0" fontId="1" fillId="0" borderId="0" applyAlignment="1" pivotButton="0" quotePrefix="0" xfId="0">
      <alignment vertical="top"/>
    </xf>
    <xf numFmtId="0" fontId="11" fillId="0" borderId="0" applyAlignment="1" pivotButton="0" quotePrefix="0" xfId="0">
      <alignment horizontal="right" vertical="top"/>
    </xf>
    <xf numFmtId="0" fontId="1" fillId="0" borderId="4" pivotButton="0" quotePrefix="0" xfId="6"/>
    <xf numFmtId="0" fontId="1" fillId="0" borderId="0" pivotButton="0" quotePrefix="0" xfId="6"/>
    <xf numFmtId="0" fontId="17" fillId="0" borderId="6" pivotButton="0" quotePrefix="0" xfId="6"/>
    <xf numFmtId="0" fontId="17" fillId="0" borderId="7" pivotButton="0" quotePrefix="0" xfId="6"/>
    <xf numFmtId="0" fontId="17" fillId="0" borderId="0" pivotButton="0" quotePrefix="0" xfId="6"/>
    <xf numFmtId="0" fontId="1" fillId="3" borderId="0" applyAlignment="1" pivotButton="0" quotePrefix="0" xfId="0">
      <alignment horizontal="left"/>
    </xf>
    <xf numFmtId="0" fontId="18" fillId="4" borderId="8" applyAlignment="1" pivotButton="0" quotePrefix="0" xfId="0">
      <alignment horizontal="left" vertical="top" wrapText="1"/>
    </xf>
    <xf numFmtId="0" fontId="16" fillId="0" borderId="0" applyAlignment="1" pivotButton="0" quotePrefix="0" xfId="0">
      <alignment horizontal="left" vertical="top" wrapText="1"/>
    </xf>
    <xf numFmtId="0" fontId="11" fillId="0" borderId="8" applyAlignment="1" pivotButton="0" quotePrefix="0" xfId="0">
      <alignment vertical="top" wrapText="1"/>
    </xf>
    <xf numFmtId="0" fontId="16" fillId="0" borderId="8" applyAlignment="1" pivotButton="0" quotePrefix="0" xfId="0">
      <alignment vertical="top" wrapText="1"/>
    </xf>
    <xf numFmtId="0" fontId="16" fillId="0" borderId="8" applyAlignment="1" pivotButton="0" quotePrefix="0" xfId="0">
      <alignment horizontal="left" vertical="top" wrapText="1"/>
    </xf>
    <xf numFmtId="0" fontId="19" fillId="0" borderId="8" applyAlignment="1" pivotButton="0" quotePrefix="0" xfId="5">
      <alignment horizontal="left" vertical="top" wrapText="1"/>
    </xf>
    <xf numFmtId="0" fontId="16" fillId="0" borderId="0" applyAlignment="1" pivotButton="0" quotePrefix="0" xfId="0">
      <alignment vertical="top"/>
    </xf>
    <xf numFmtId="165" fontId="11" fillId="0" borderId="0" applyAlignment="1" pivotButton="0" quotePrefix="0" xfId="0">
      <alignment horizontal="left"/>
    </xf>
    <xf numFmtId="165" fontId="13" fillId="0" borderId="0" applyAlignment="1" pivotButton="0" quotePrefix="0" xfId="0">
      <alignment horizontal="left"/>
    </xf>
    <xf numFmtId="165" fontId="13" fillId="0" borderId="0" applyAlignment="1" pivotButton="0" quotePrefix="0" xfId="0">
      <alignment horizontal="left" wrapText="1"/>
    </xf>
    <xf numFmtId="165" fontId="11" fillId="0" borderId="0" applyAlignment="1" pivotButton="0" quotePrefix="0" xfId="0">
      <alignment horizontal="left" wrapText="1"/>
    </xf>
    <xf numFmtId="165" fontId="18" fillId="4" borderId="8" applyAlignment="1" pivotButton="0" quotePrefix="0" xfId="0">
      <alignment horizontal="left" vertical="top" wrapText="1"/>
    </xf>
    <xf numFmtId="165" fontId="16" fillId="0" borderId="8" applyAlignment="1" pivotButton="0" quotePrefix="0" xfId="0">
      <alignment horizontal="left" vertical="top" wrapText="1"/>
    </xf>
    <xf numFmtId="165" fontId="11" fillId="0" borderId="0" applyAlignment="1" pivotButton="0" quotePrefix="0" xfId="0">
      <alignment horizontal="left" wrapText="1"/>
    </xf>
    <xf numFmtId="165" fontId="13" fillId="0" borderId="0" pivotButton="0" quotePrefix="0" xfId="0"/>
    <xf numFmtId="0" fontId="13" fillId="0" borderId="0" applyAlignment="1" pivotButton="0" quotePrefix="0" xfId="0">
      <alignment horizontal="right" wrapText="1"/>
    </xf>
    <xf numFmtId="0" fontId="1" fillId="0" borderId="0" applyAlignment="1" pivotButton="0" quotePrefix="0" xfId="0">
      <alignment horizontal="right" wrapText="1"/>
    </xf>
    <xf numFmtId="0" fontId="13" fillId="2" borderId="0" applyAlignment="1" pivotButton="0" quotePrefix="0" xfId="0">
      <alignment horizontal="left"/>
    </xf>
    <xf numFmtId="0" fontId="13" fillId="0" borderId="0" applyAlignment="1" pivotButton="0" quotePrefix="0" xfId="0">
      <alignment horizontal="left"/>
    </xf>
    <xf numFmtId="0" fontId="13" fillId="5" borderId="0" applyAlignment="1" pivotButton="0" quotePrefix="0" xfId="0">
      <alignment horizontal="left"/>
    </xf>
    <xf numFmtId="0" fontId="1" fillId="0" borderId="0" applyAlignment="1" pivotButton="0" quotePrefix="0" xfId="0">
      <alignment vertical="center"/>
    </xf>
    <xf numFmtId="0" fontId="17" fillId="0" borderId="0" pivotButton="0" quotePrefix="0" xfId="6"/>
    <xf numFmtId="0" fontId="17" fillId="0" borderId="5" pivotButton="0" quotePrefix="0" xfId="6"/>
    <xf numFmtId="0" fontId="1" fillId="0" borderId="4" applyAlignment="1" pivotButton="0" quotePrefix="0" xfId="0">
      <alignment vertical="center"/>
    </xf>
    <xf numFmtId="0" fontId="17" fillId="0" borderId="4" pivotButton="0" quotePrefix="0" xfId="6"/>
    <xf numFmtId="0" fontId="17" fillId="0" borderId="9" pivotButton="0" quotePrefix="0" xfId="6"/>
    <xf numFmtId="0" fontId="21" fillId="0" borderId="8" applyAlignment="1" pivotButton="0" quotePrefix="0" xfId="0">
      <alignment vertical="top" wrapText="1"/>
    </xf>
    <xf numFmtId="0" fontId="20" fillId="0" borderId="0" pivotButton="0" quotePrefix="0" xfId="0"/>
    <xf numFmtId="0" fontId="1" fillId="0" borderId="0" pivotButton="0" quotePrefix="0" xfId="0"/>
    <xf numFmtId="0" fontId="11" fillId="0" borderId="8" applyAlignment="1" pivotButton="0" quotePrefix="0" xfId="0">
      <alignment wrapText="1"/>
    </xf>
    <xf numFmtId="0" fontId="16" fillId="0" borderId="8" applyAlignment="1" pivotButton="0" quotePrefix="0" xfId="0">
      <alignment horizontal="left" wrapText="1"/>
    </xf>
    <xf numFmtId="0" fontId="16" fillId="0" borderId="8" applyAlignment="1" pivotButton="0" quotePrefix="0" xfId="0">
      <alignment wrapText="1"/>
    </xf>
    <xf numFmtId="165" fontId="16" fillId="0" borderId="8" applyAlignment="1" pivotButton="0" quotePrefix="0" xfId="0">
      <alignment horizontal="left" wrapText="1"/>
    </xf>
    <xf numFmtId="0" fontId="19" fillId="0" borderId="8" applyAlignment="1" pivotButton="0" quotePrefix="0" xfId="5">
      <alignment horizontal="left" wrapText="1"/>
    </xf>
    <xf numFmtId="0" fontId="16" fillId="0" borderId="0" pivotButton="0" quotePrefix="0" xfId="0"/>
    <xf numFmtId="0" fontId="0" fillId="0" borderId="0" applyAlignment="1" pivotButton="0" quotePrefix="0" xfId="0">
      <alignment wrapText="1"/>
    </xf>
    <xf numFmtId="0" fontId="11" fillId="0" borderId="13" applyAlignment="1" pivotButton="0" quotePrefix="0" xfId="0">
      <alignment wrapText="1"/>
    </xf>
    <xf numFmtId="0" fontId="11" fillId="0" borderId="13" applyAlignment="1" pivotButton="0" quotePrefix="0" xfId="0">
      <alignment vertical="top" wrapText="1"/>
    </xf>
    <xf numFmtId="0" fontId="16" fillId="0" borderId="13" applyAlignment="1" pivotButton="0" quotePrefix="0" xfId="0">
      <alignment horizontal="left" vertical="top" wrapText="1"/>
    </xf>
    <xf numFmtId="0" fontId="16" fillId="0" borderId="14" applyAlignment="1" pivotButton="0" quotePrefix="0" xfId="0">
      <alignment horizontal="left" vertical="top" wrapText="1"/>
    </xf>
    <xf numFmtId="0" fontId="12" fillId="0" borderId="10" applyAlignment="1" pivotButton="0" quotePrefix="0" xfId="0">
      <alignment horizontal="center"/>
    </xf>
    <xf numFmtId="0" fontId="12" fillId="0" borderId="11" applyAlignment="1" pivotButton="0" quotePrefix="0" xfId="0">
      <alignment horizontal="center"/>
    </xf>
    <xf numFmtId="0" fontId="12" fillId="0" borderId="12" applyAlignment="1" pivotButton="0" quotePrefix="0" xfId="0">
      <alignment horizontal="center"/>
    </xf>
    <xf numFmtId="0" fontId="9" fillId="0" borderId="0" applyAlignment="1" pivotButton="0" quotePrefix="0" xfId="0">
      <alignment horizontal="left" vertical="center" wrapText="1"/>
    </xf>
    <xf numFmtId="0" fontId="9" fillId="0" borderId="5" applyAlignment="1" pivotButton="0" quotePrefix="0" xfId="0">
      <alignment horizontal="left" vertical="center" wrapText="1"/>
    </xf>
    <xf numFmtId="0" fontId="9" fillId="0" borderId="0" applyAlignment="1" pivotButton="0" quotePrefix="0" xfId="6">
      <alignment horizontal="left"/>
    </xf>
    <xf numFmtId="0" fontId="9" fillId="0" borderId="5" applyAlignment="1" pivotButton="0" quotePrefix="0" xfId="6">
      <alignment horizontal="left"/>
    </xf>
    <xf numFmtId="0" fontId="9" fillId="0" borderId="0" applyAlignment="1" pivotButton="0" quotePrefix="0" xfId="6">
      <alignment horizontal="center" vertical="center"/>
    </xf>
    <xf numFmtId="0" fontId="9" fillId="0" borderId="5" applyAlignment="1" pivotButton="0" quotePrefix="0" xfId="6">
      <alignment horizontal="center" vertical="center"/>
    </xf>
    <xf numFmtId="0" fontId="9" fillId="0" borderId="0" applyAlignment="1" pivotButton="0" quotePrefix="0" xfId="0">
      <alignment horizontal="left" vertical="center"/>
    </xf>
    <xf numFmtId="0" fontId="9" fillId="0" borderId="5" applyAlignment="1" pivotButton="0" quotePrefix="0" xfId="0">
      <alignment horizontal="left" vertical="center"/>
    </xf>
    <xf numFmtId="0" fontId="16" fillId="0" borderId="13" applyAlignment="1" pivotButton="0" quotePrefix="0" xfId="0">
      <alignment horizontal="left" wrapText="1"/>
    </xf>
    <xf numFmtId="0" fontId="16" fillId="0" borderId="14" applyAlignment="1" pivotButton="0" quotePrefix="0" xfId="0">
      <alignment horizontal="left" wrapText="1"/>
    </xf>
    <xf numFmtId="0" fontId="16" fillId="0" borderId="13" applyAlignment="1" pivotButton="0" quotePrefix="0" xfId="0">
      <alignment horizontal="left" vertical="top" wrapText="1"/>
    </xf>
    <xf numFmtId="0" fontId="16" fillId="0" borderId="14" applyAlignment="1" pivotButton="0" quotePrefix="0" xfId="0">
      <alignment horizontal="left" vertical="top" wrapText="1"/>
    </xf>
    <xf numFmtId="0" fontId="12" fillId="0" borderId="15" applyAlignment="1" pivotButton="0" quotePrefix="0" xfId="0">
      <alignment horizontal="center"/>
    </xf>
    <xf numFmtId="0" fontId="0" fillId="0" borderId="11" pivotButton="0" quotePrefix="0" xfId="0"/>
    <xf numFmtId="0" fontId="0" fillId="0" borderId="12" pivotButton="0" quotePrefix="0" xfId="0"/>
    <xf numFmtId="0" fontId="0" fillId="0" borderId="5" pivotButton="0" quotePrefix="0" xfId="0"/>
    <xf numFmtId="165" fontId="11" fillId="0" borderId="0" applyAlignment="1" pivotButton="0" quotePrefix="0" xfId="0">
      <alignment horizontal="left" wrapText="1"/>
    </xf>
    <xf numFmtId="165" fontId="11" fillId="0" borderId="0" applyAlignment="1" pivotButton="0" quotePrefix="0" xfId="0">
      <alignment horizontal="left"/>
    </xf>
    <xf numFmtId="164" fontId="10" fillId="0" borderId="0" pivotButton="0" quotePrefix="0" xfId="0"/>
    <xf numFmtId="165" fontId="13" fillId="0" borderId="0" applyAlignment="1" pivotButton="0" quotePrefix="0" xfId="0">
      <alignment horizontal="left"/>
    </xf>
    <xf numFmtId="164" fontId="12" fillId="0" borderId="0" pivotButton="0" quotePrefix="0" xfId="0"/>
    <xf numFmtId="165" fontId="13" fillId="0" borderId="0" pivotButton="0" quotePrefix="0" xfId="0"/>
    <xf numFmtId="165" fontId="13" fillId="0" borderId="0" applyAlignment="1" pivotButton="0" quotePrefix="0" xfId="0">
      <alignment horizontal="left" wrapText="1"/>
    </xf>
    <xf numFmtId="165" fontId="18" fillId="4" borderId="8" applyAlignment="1" pivotButton="0" quotePrefix="0" xfId="0">
      <alignment horizontal="left" vertical="top" wrapText="1"/>
    </xf>
    <xf numFmtId="0" fontId="0" fillId="0" borderId="14" pivotButton="0" quotePrefix="0" xfId="0"/>
    <xf numFmtId="165" fontId="16" fillId="0" borderId="8" applyAlignment="1" pivotButton="0" quotePrefix="0" xfId="0">
      <alignment horizontal="left" wrapText="1"/>
    </xf>
    <xf numFmtId="165" fontId="16" fillId="0" borderId="8" applyAlignment="1" pivotButton="0" quotePrefix="0" xfId="0">
      <alignment horizontal="left" vertical="top" wrapText="1"/>
    </xf>
  </cellXfs>
  <cellStyles count="11">
    <cellStyle name="Normal" xfId="0" builtinId="0"/>
    <cellStyle name="0,0_x000d__x000a_NA_x000d__x000a_" xfId="1"/>
    <cellStyle name="Calc Currency (0)" xfId="2"/>
    <cellStyle name="Header1" xfId="3"/>
    <cellStyle name="Header2" xfId="4"/>
    <cellStyle name="Hyperlink" xfId="5" builtinId="8"/>
    <cellStyle name="Normal_Guideline_Process tailoring" xfId="6"/>
    <cellStyle name="常规_sst145" xfId="7"/>
    <cellStyle name="標準_02_発注条件書補足資料(工程定義)_関谷記入済" xfId="8"/>
    <cellStyle name="標準1" xfId="9"/>
    <cellStyle name="通貨 [0.00" xfId="10"/>
  </cellStyles>
  <dxfs count="54">
    <dxf>
      <fill>
        <patternFill patternType="solid">
          <bgColor indexed="22"/>
        </patternFill>
      </fill>
    </dxf>
    <dxf>
      <fill>
        <patternFill>
          <bgColor indexed="22"/>
        </patternFill>
      </fill>
    </dxf>
    <dxf>
      <fill>
        <patternFill>
          <bgColor indexed="43"/>
        </patternFill>
      </fill>
    </dxf>
    <dxf>
      <fill>
        <patternFill patternType="solid">
          <bgColor indexed="22"/>
        </patternFill>
      </fill>
    </dxf>
    <dxf>
      <fill>
        <patternFill>
          <bgColor indexed="22"/>
        </patternFill>
      </fill>
    </dxf>
    <dxf>
      <fill>
        <patternFill>
          <bgColor indexed="43"/>
        </patternFill>
      </fill>
    </dxf>
    <dxf>
      <fill>
        <patternFill patternType="solid">
          <bgColor indexed="22"/>
        </patternFill>
      </fill>
    </dxf>
    <dxf>
      <fill>
        <patternFill>
          <bgColor indexed="22"/>
        </patternFill>
      </fill>
    </dxf>
    <dxf>
      <fill>
        <patternFill>
          <bgColor indexed="43"/>
        </patternFill>
      </fill>
    </dxf>
    <dxf>
      <fill>
        <patternFill patternType="solid">
          <bgColor indexed="22"/>
        </patternFill>
      </fill>
    </dxf>
    <dxf>
      <fill>
        <patternFill>
          <bgColor indexed="22"/>
        </patternFill>
      </fill>
    </dxf>
    <dxf>
      <fill>
        <patternFill>
          <bgColor indexed="43"/>
        </patternFill>
      </fill>
    </dxf>
    <dxf>
      <fill>
        <patternFill patternType="solid">
          <bgColor indexed="22"/>
        </patternFill>
      </fill>
    </dxf>
    <dxf>
      <fill>
        <patternFill>
          <bgColor indexed="22"/>
        </patternFill>
      </fill>
    </dxf>
    <dxf>
      <fill>
        <patternFill>
          <bgColor indexed="43"/>
        </patternFill>
      </fill>
    </dxf>
    <dxf>
      <fill>
        <patternFill patternType="solid">
          <bgColor indexed="22"/>
        </patternFill>
      </fill>
    </dxf>
    <dxf>
      <fill>
        <patternFill>
          <bgColor indexed="22"/>
        </patternFill>
      </fill>
    </dxf>
    <dxf>
      <fill>
        <patternFill>
          <bgColor indexed="43"/>
        </patternFill>
      </fill>
    </dxf>
    <dxf>
      <fill>
        <patternFill patternType="solid">
          <bgColor indexed="22"/>
        </patternFill>
      </fill>
    </dxf>
    <dxf>
      <fill>
        <patternFill>
          <bgColor indexed="22"/>
        </patternFill>
      </fill>
    </dxf>
    <dxf>
      <fill>
        <patternFill>
          <bgColor indexed="43"/>
        </patternFill>
      </fill>
    </dxf>
    <dxf>
      <fill>
        <patternFill patternType="solid">
          <bgColor indexed="22"/>
        </patternFill>
      </fill>
    </dxf>
    <dxf>
      <fill>
        <patternFill>
          <bgColor indexed="22"/>
        </patternFill>
      </fill>
    </dxf>
    <dxf>
      <fill>
        <patternFill>
          <bgColor indexed="43"/>
        </patternFill>
      </fill>
    </dxf>
    <dxf>
      <fill>
        <patternFill patternType="solid">
          <bgColor indexed="22"/>
        </patternFill>
      </fill>
    </dxf>
    <dxf>
      <fill>
        <patternFill>
          <bgColor indexed="22"/>
        </patternFill>
      </fill>
    </dxf>
    <dxf>
      <fill>
        <patternFill>
          <bgColor indexed="43"/>
        </patternFill>
      </fill>
    </dxf>
    <dxf>
      <fill>
        <patternFill patternType="solid">
          <bgColor indexed="22"/>
        </patternFill>
      </fill>
    </dxf>
    <dxf>
      <fill>
        <patternFill>
          <bgColor indexed="22"/>
        </patternFill>
      </fill>
    </dxf>
    <dxf>
      <fill>
        <patternFill>
          <bgColor indexed="43"/>
        </patternFill>
      </fill>
    </dxf>
    <dxf>
      <fill>
        <patternFill patternType="solid">
          <bgColor indexed="22"/>
        </patternFill>
      </fill>
    </dxf>
    <dxf>
      <fill>
        <patternFill>
          <bgColor indexed="22"/>
        </patternFill>
      </fill>
    </dxf>
    <dxf>
      <fill>
        <patternFill>
          <bgColor indexed="43"/>
        </patternFill>
      </fill>
    </dxf>
    <dxf>
      <fill>
        <patternFill patternType="solid">
          <bgColor indexed="22"/>
        </patternFill>
      </fill>
    </dxf>
    <dxf>
      <fill>
        <patternFill>
          <bgColor indexed="22"/>
        </patternFill>
      </fill>
    </dxf>
    <dxf>
      <fill>
        <patternFill>
          <bgColor indexed="43"/>
        </patternFill>
      </fill>
    </dxf>
    <dxf>
      <fill>
        <patternFill patternType="solid">
          <bgColor indexed="22"/>
        </patternFill>
      </fill>
    </dxf>
    <dxf>
      <fill>
        <patternFill>
          <bgColor indexed="22"/>
        </patternFill>
      </fill>
    </dxf>
    <dxf>
      <fill>
        <patternFill>
          <bgColor indexed="43"/>
        </patternFill>
      </fill>
    </dxf>
    <dxf>
      <fill>
        <patternFill patternType="solid">
          <bgColor indexed="22"/>
        </patternFill>
      </fill>
    </dxf>
    <dxf>
      <fill>
        <patternFill>
          <bgColor indexed="22"/>
        </patternFill>
      </fill>
    </dxf>
    <dxf>
      <fill>
        <patternFill>
          <bgColor indexed="43"/>
        </patternFill>
      </fill>
    </dxf>
    <dxf>
      <fill>
        <patternFill patternType="solid">
          <bgColor indexed="22"/>
        </patternFill>
      </fill>
    </dxf>
    <dxf>
      <fill>
        <patternFill>
          <bgColor indexed="22"/>
        </patternFill>
      </fill>
    </dxf>
    <dxf>
      <fill>
        <patternFill>
          <bgColor indexed="43"/>
        </patternFill>
      </fill>
    </dxf>
    <dxf>
      <fill>
        <patternFill patternType="solid">
          <bgColor indexed="22"/>
        </patternFill>
      </fill>
    </dxf>
    <dxf>
      <fill>
        <patternFill>
          <bgColor indexed="22"/>
        </patternFill>
      </fill>
    </dxf>
    <dxf>
      <fill>
        <patternFill>
          <bgColor indexed="43"/>
        </patternFill>
      </fill>
    </dxf>
    <dxf>
      <fill>
        <patternFill patternType="solid">
          <bgColor indexed="22"/>
        </patternFill>
      </fill>
    </dxf>
    <dxf>
      <fill>
        <patternFill>
          <bgColor indexed="22"/>
        </patternFill>
      </fill>
    </dxf>
    <dxf>
      <fill>
        <patternFill>
          <bgColor indexed="43"/>
        </patternFill>
      </fill>
    </dxf>
    <dxf>
      <fill>
        <patternFill patternType="solid">
          <bgColor indexed="22"/>
        </patternFill>
      </fill>
    </dxf>
    <dxf>
      <fill>
        <patternFill>
          <bgColor indexed="22"/>
        </patternFill>
      </fill>
    </dxf>
    <dxf>
      <fill>
        <patternFill>
          <bgColor indexed="4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3"/>
  <sheetViews>
    <sheetView showGridLines="0" zoomScaleNormal="100" workbookViewId="0">
      <selection activeCell="Q43" sqref="Q43"/>
    </sheetView>
  </sheetViews>
  <sheetFormatPr baseColWidth="8" defaultColWidth="9.1796875" defaultRowHeight="12.5"/>
  <cols>
    <col width="2.81640625" customWidth="1" style="62" min="1" max="1"/>
    <col width="2.1796875" customWidth="1" style="62" min="2" max="2"/>
    <col width="5.1796875" customWidth="1" style="62" min="3" max="3"/>
    <col width="9.1796875" customWidth="1" style="62" min="4" max="4"/>
    <col width="13.81640625" customWidth="1" style="62" min="5" max="5"/>
    <col width="8.7265625" customWidth="1" style="62" min="6" max="6"/>
    <col width="6.7265625" customWidth="1" style="62" min="7" max="7"/>
    <col width="14.1796875" customWidth="1" style="62" min="8" max="8"/>
    <col width="1.7265625" customWidth="1" style="62" min="9" max="9"/>
    <col width="11.453125" customWidth="1" style="62" min="10" max="10"/>
    <col width="14" customWidth="1" style="62" min="11" max="11"/>
    <col width="11.1796875" customWidth="1" style="62" min="12" max="12"/>
    <col width="9.1796875" customWidth="1" style="62" min="13" max="16384"/>
  </cols>
  <sheetData>
    <row r="1" ht="27" customFormat="1" customHeight="1" s="12">
      <c r="A1" s="96" t="inlineStr">
        <is>
          <t>GUIDELINE OF Q&amp;A MANAGEMENT SHEET</t>
        </is>
      </c>
      <c r="B1" s="97" t="n"/>
      <c r="C1" s="97" t="n"/>
      <c r="D1" s="97" t="n"/>
      <c r="E1" s="97" t="n"/>
      <c r="F1" s="97" t="n"/>
      <c r="G1" s="97" t="n"/>
      <c r="H1" s="97" t="n"/>
      <c r="I1" s="97" t="n"/>
      <c r="J1" s="97" t="n"/>
      <c r="K1" s="97" t="n"/>
      <c r="L1" s="98" t="n"/>
      <c r="P1" s="13" t="n"/>
    </row>
    <row r="2" ht="22.5" customFormat="1" customHeight="1" s="29">
      <c r="A2" s="14" t="n"/>
      <c r="B2" s="15" t="inlineStr">
        <is>
          <t>1. Purpose</t>
        </is>
      </c>
      <c r="C2" s="29" t="n"/>
      <c r="D2" s="29" t="n"/>
      <c r="E2" s="29" t="n"/>
      <c r="F2" s="29" t="n"/>
      <c r="G2" s="29" t="n"/>
      <c r="H2" s="29" t="n"/>
      <c r="I2" s="29" t="n"/>
      <c r="J2" s="29" t="n"/>
      <c r="K2" s="29" t="n"/>
      <c r="L2" s="17" t="n"/>
    </row>
    <row r="3" ht="12.75" customFormat="1" customHeight="1" s="29">
      <c r="A3" s="19" t="n"/>
      <c r="B3" s="29" t="n"/>
      <c r="C3" s="29" t="inlineStr">
        <is>
          <t>Q&amp;A Management Table is to record and follow up the questions and answers communicated between project team</t>
        </is>
      </c>
      <c r="D3" s="29" t="n"/>
      <c r="E3" s="29" t="n"/>
      <c r="F3" s="29" t="n"/>
      <c r="G3" s="29" t="n"/>
      <c r="H3" s="29" t="n"/>
      <c r="I3" s="29" t="n"/>
      <c r="J3" s="29" t="n"/>
      <c r="K3" s="29" t="n"/>
      <c r="L3" s="27" t="n"/>
    </row>
    <row r="4" ht="12.75" customFormat="1" customHeight="1" s="29">
      <c r="A4" s="19" t="n"/>
      <c r="B4" s="29" t="n"/>
      <c r="C4" s="29" t="inlineStr">
        <is>
          <t xml:space="preserve"> and the customer. All the questions/confirmation noted in emails, raised in meetings (TV meeting, meeting with </t>
        </is>
      </c>
      <c r="D4" s="29" t="n"/>
      <c r="E4" s="29" t="n"/>
      <c r="F4" s="29" t="n"/>
      <c r="G4" s="29" t="n"/>
      <c r="H4" s="29" t="n"/>
      <c r="I4" s="29" t="n"/>
      <c r="J4" s="29" t="n"/>
      <c r="K4" s="29" t="n"/>
      <c r="L4" s="17" t="n"/>
    </row>
    <row r="5" ht="12.75" customFormat="1" customHeight="1" s="29">
      <c r="A5" s="19" t="n"/>
      <c r="B5" s="29" t="n"/>
      <c r="C5" s="29" t="inlineStr">
        <is>
          <t>onsiter from customer side) shall be logged and tracked here.</t>
        </is>
      </c>
      <c r="D5" s="29" t="n"/>
      <c r="E5" s="29" t="n"/>
      <c r="F5" s="29" t="n"/>
      <c r="G5" s="29" t="n"/>
      <c r="H5" s="29" t="n"/>
      <c r="I5" s="29" t="n"/>
      <c r="J5" s="29" t="n"/>
      <c r="K5" s="29" t="n"/>
      <c r="L5" s="17" t="n"/>
    </row>
    <row r="6" ht="7.5" customFormat="1" customHeight="1" s="28">
      <c r="A6" s="21" t="n"/>
      <c r="B6" s="69" t="n"/>
      <c r="C6" s="23" t="n"/>
      <c r="D6" s="28" t="n"/>
      <c r="E6" s="84" t="n"/>
      <c r="F6" s="90" t="n"/>
      <c r="G6" s="90" t="n"/>
      <c r="H6" s="90" t="n"/>
      <c r="I6" s="90" t="n"/>
      <c r="J6" s="90" t="n"/>
      <c r="K6" s="90" t="n"/>
      <c r="L6" s="27" t="n"/>
    </row>
    <row r="7" ht="12.75" customFormat="1" customHeight="1" s="29">
      <c r="A7" s="19" t="n"/>
      <c r="B7" s="29" t="n"/>
      <c r="C7" s="29" t="inlineStr">
        <is>
          <t>Project must define one person-in-charge to take care of Q&amp;A management in the project to avoid duplicate Q&amp;A</t>
        </is>
      </c>
      <c r="D7" s="29" t="n"/>
      <c r="E7" s="29" t="n"/>
      <c r="F7" s="29" t="n"/>
      <c r="G7" s="29" t="n"/>
      <c r="H7" s="29" t="n"/>
      <c r="I7" s="29" t="n"/>
      <c r="J7" s="29" t="n"/>
      <c r="K7" s="29" t="n"/>
      <c r="L7" s="17" t="n"/>
    </row>
    <row r="8" ht="12.75" customFormat="1" customHeight="1" s="29">
      <c r="A8" s="19" t="n"/>
      <c r="B8" s="29" t="n"/>
      <c r="C8" s="29" t="inlineStr">
        <is>
          <t xml:space="preserve">or unnecessary clarification at the beginning of project. Normally; this is project PTL/PM. It is recommended not </t>
        </is>
      </c>
      <c r="D8" s="29" t="n"/>
      <c r="E8" s="29" t="n"/>
      <c r="F8" s="29" t="n"/>
      <c r="G8" s="29" t="n"/>
      <c r="H8" s="29" t="n"/>
      <c r="I8" s="29" t="n"/>
      <c r="J8" s="29" t="n"/>
      <c r="K8" s="29" t="n"/>
      <c r="L8" s="17" t="n"/>
    </row>
    <row r="9" ht="12.75" customFormat="1" customHeight="1" s="29">
      <c r="A9" s="19" t="n"/>
      <c r="B9" s="29" t="n"/>
      <c r="C9" s="29" t="inlineStr">
        <is>
          <t>to put for more than one question into one Q&amp;A because it may make the people confuse and miss the points.</t>
        </is>
      </c>
      <c r="D9" s="29" t="n"/>
      <c r="E9" s="29" t="n"/>
      <c r="F9" s="29" t="n"/>
      <c r="G9" s="29" t="n"/>
      <c r="H9" s="29" t="n"/>
      <c r="I9" s="29" t="n"/>
      <c r="J9" s="29" t="n"/>
      <c r="K9" s="29" t="n"/>
      <c r="L9" s="17" t="n"/>
    </row>
    <row r="10" ht="7.5" customFormat="1" customHeight="1" s="28">
      <c r="A10" s="21" t="n"/>
      <c r="B10" s="69" t="n"/>
      <c r="C10" s="23" t="n"/>
      <c r="D10" s="28" t="n"/>
      <c r="E10" s="84" t="n"/>
      <c r="F10" s="90" t="n"/>
      <c r="G10" s="90" t="n"/>
      <c r="H10" s="90" t="n"/>
      <c r="I10" s="90" t="n"/>
      <c r="J10" s="90" t="n"/>
      <c r="K10" s="90" t="n"/>
      <c r="L10" s="27" t="n"/>
    </row>
    <row r="11" ht="12.75" customFormat="1" customHeight="1" s="29">
      <c r="A11" s="19" t="n"/>
      <c r="B11" s="29" t="n"/>
      <c r="C11" s="29" t="inlineStr">
        <is>
          <t xml:space="preserve">If the file's size is too big, it could be separated into several files. In that case, a sequential number (01, 02, etc.) is </t>
        </is>
      </c>
      <c r="D11" s="29" t="n"/>
      <c r="E11" s="29" t="n"/>
      <c r="F11" s="29" t="n"/>
      <c r="G11" s="29" t="n"/>
      <c r="H11" s="29" t="n"/>
      <c r="I11" s="29" t="n"/>
      <c r="J11" s="29" t="n"/>
      <c r="K11" s="29" t="n"/>
      <c r="L11" s="17" t="n"/>
    </row>
    <row r="12" ht="12.75" customFormat="1" customHeight="1" s="29">
      <c r="A12" s="19" t="n"/>
      <c r="B12" s="29" t="n"/>
      <c r="C12" s="29" t="inlineStr">
        <is>
          <t>added to the end of the file name.</t>
        </is>
      </c>
      <c r="D12" s="29" t="n"/>
      <c r="E12" s="29" t="n"/>
      <c r="F12" s="29" t="n"/>
      <c r="G12" s="29" t="n"/>
      <c r="H12" s="29" t="n"/>
      <c r="I12" s="29" t="n"/>
      <c r="J12" s="29" t="n"/>
      <c r="K12" s="29" t="n"/>
      <c r="L12" s="17" t="n"/>
    </row>
    <row r="13" ht="7.5" customFormat="1" customHeight="1" s="28">
      <c r="A13" s="21" t="n"/>
      <c r="B13" s="69" t="n"/>
      <c r="C13" s="23" t="n"/>
      <c r="D13" s="28" t="n"/>
      <c r="E13" s="84" t="n"/>
      <c r="F13" s="90" t="n"/>
      <c r="G13" s="90" t="n"/>
      <c r="H13" s="90" t="n"/>
      <c r="I13" s="90" t="n"/>
      <c r="J13" s="90" t="n"/>
      <c r="K13" s="90" t="n"/>
      <c r="L13" s="27" t="n"/>
    </row>
    <row r="14" ht="22.5" customFormat="1" customHeight="1" s="29">
      <c r="A14" s="19" t="n"/>
      <c r="B14" s="15" t="inlineStr">
        <is>
          <t>2. Scope</t>
        </is>
      </c>
      <c r="C14" s="29" t="n"/>
      <c r="D14" s="29" t="n"/>
      <c r="E14" s="29" t="n"/>
      <c r="F14" s="29" t="n"/>
      <c r="G14" s="29" t="n"/>
      <c r="H14" s="29" t="n"/>
      <c r="I14" s="29" t="n"/>
      <c r="J14" s="29" t="n"/>
      <c r="K14" s="29" t="n"/>
      <c r="L14" s="17" t="n"/>
    </row>
    <row r="15" ht="12.75" customFormat="1" customHeight="1" s="29">
      <c r="A15" s="19" t="n"/>
      <c r="B15" s="29" t="n"/>
      <c r="C15" s="29" t="inlineStr">
        <is>
          <t>Application to all FSOFT departments/projects</t>
        </is>
      </c>
      <c r="D15" s="29" t="n"/>
      <c r="E15" s="29" t="n"/>
      <c r="F15" s="29" t="n"/>
      <c r="G15" s="29" t="n"/>
      <c r="H15" s="29" t="n"/>
      <c r="I15" s="29" t="n"/>
      <c r="J15" s="29" t="n"/>
      <c r="K15" s="29" t="n"/>
      <c r="L15" s="17" t="n"/>
    </row>
    <row r="16" ht="23.25" customFormat="1" customHeight="1" s="29">
      <c r="A16" s="19" t="n"/>
      <c r="B16" s="15" t="inlineStr">
        <is>
          <t>3. Definition &amp; Criteria</t>
        </is>
      </c>
      <c r="C16" s="29" t="n"/>
      <c r="D16" s="29" t="n"/>
      <c r="E16" s="29" t="n"/>
      <c r="F16" s="29" t="n"/>
      <c r="G16" s="29" t="n"/>
      <c r="H16" s="29" t="n"/>
      <c r="I16" s="29" t="n"/>
      <c r="J16" s="29" t="n"/>
      <c r="K16" s="29" t="n"/>
      <c r="L16" s="17" t="n"/>
    </row>
    <row r="17" ht="15" customFormat="1" customHeight="1" s="29">
      <c r="A17" s="19" t="n"/>
      <c r="B17" s="29" t="n"/>
      <c r="C17" s="87" t="inlineStr">
        <is>
          <t>No. is the number of the question</t>
        </is>
      </c>
      <c r="L17" s="99" t="n"/>
    </row>
    <row r="18" ht="99" customFormat="1" customHeight="1" s="32">
      <c r="A18" s="30" t="n"/>
      <c r="B18" s="31" t="n"/>
      <c r="C18" s="85" t="inlineStr">
        <is>
          <t>Question is Content of the question. If there is a feedback or further clarification about the same question, use the following format: [yyyy/MM/dd FPT/Customer Name/PersonName Add]
                   For example:
                            We don't understand XYZ.
                            [2006/12/19 FPT add]
                            Following your suggestion, we still cannot...
Note that the latest addition is in red so that the involved parties can easily notice it.</t>
        </is>
      </c>
      <c r="L18" s="99" t="n"/>
    </row>
    <row r="19" ht="20.25" customFormat="1" customHeight="1" s="29">
      <c r="A19" s="19" t="n"/>
      <c r="B19" s="29" t="n"/>
      <c r="C19" s="89" t="inlineStr">
        <is>
          <t>Answer is the response to the question. If there is further discussion, use the same rules as specified for Question</t>
        </is>
      </c>
      <c r="L19" s="99" t="n"/>
    </row>
    <row r="20" ht="58.5" customFormat="1" customHeight="1" s="32">
      <c r="A20" s="30" t="n"/>
      <c r="B20" s="31" t="n"/>
      <c r="C20" s="85" t="inlineStr">
        <is>
          <t>Priority 
              High - if it blocks the work.
              Medium - if an answer is needed within 2-4 days.
              Low - Cosmetic question</t>
        </is>
      </c>
      <c r="L20" s="99" t="n"/>
    </row>
    <row r="21" ht="22.5" customFormat="1" customHeight="1" s="32">
      <c r="A21" s="30" t="n"/>
      <c r="B21" s="31" t="n"/>
      <c r="C21" s="85" t="inlineStr">
        <is>
          <t>Created On - Date on which the question is raised. Filled in by FPT</t>
        </is>
      </c>
      <c r="L21" s="99" t="n"/>
    </row>
    <row r="22" ht="19.5" customFormat="1" customHeight="1" s="29">
      <c r="A22" s="35" t="n"/>
      <c r="B22" s="36" t="n"/>
      <c r="C22" s="91" t="inlineStr">
        <is>
          <t>Created By - The person who asks the question</t>
        </is>
      </c>
      <c r="L22" s="99" t="n"/>
    </row>
    <row r="23" ht="22.5" customFormat="1" customHeight="1" s="32">
      <c r="A23" s="30" t="n"/>
      <c r="B23" s="31" t="n"/>
      <c r="C23" s="85" t="inlineStr">
        <is>
          <t>Assigned to - The person who's in charge of answering the question. Filled in by the customer</t>
        </is>
      </c>
      <c r="L23" s="99" t="n"/>
    </row>
    <row r="24" ht="22.5" customFormat="1" customHeight="1" s="32">
      <c r="A24" s="30" t="n"/>
      <c r="B24" s="31" t="n"/>
      <c r="C24" s="85" t="inlineStr">
        <is>
          <t>Deadline - The date expected to receive the answers for the question</t>
        </is>
      </c>
      <c r="L24" s="99" t="n"/>
    </row>
    <row r="25" ht="26.25" customFormat="1" customHeight="1" s="32">
      <c r="A25" s="30" t="n"/>
      <c r="B25" s="31" t="n"/>
      <c r="C25" s="85" t="inlineStr">
        <is>
          <t>Answered on - The date on which the question is actually answer, expected to be filled by the customer</t>
        </is>
      </c>
      <c r="L25" s="99" t="n"/>
    </row>
    <row r="26" ht="72.75" customFormat="1" customHeight="1" s="32">
      <c r="A26" s="30" t="n"/>
      <c r="B26" s="31" t="n"/>
      <c r="C26" s="85" t="inlineStr">
        <is>
          <t>Status 
              Open: The question has not been answered 
              Closed: The question is satisfactorily answered
              Canceled: Question is canceled
              In progress: the answer is available but not fully satisfied</t>
        </is>
      </c>
      <c r="L26" s="99" t="n"/>
    </row>
    <row r="27" ht="41.25" customFormat="1" customHeight="1" s="32">
      <c r="A27" s="30" t="n"/>
      <c r="B27" s="31" t="n"/>
      <c r="C27" s="85" t="inlineStr">
        <is>
          <t>Conclusion - a place for a conclusion. Conclusion must be more specific/detail and clear to understand about what FPT understands finally and what FPT will do.</t>
        </is>
      </c>
      <c r="L27" s="99" t="n"/>
    </row>
    <row r="28" ht="60.75" customFormat="1" customHeight="1" s="32">
      <c r="A28" s="30" t="n"/>
      <c r="B28" s="31" t="n"/>
      <c r="C28" s="85" t="inlineStr">
        <is>
          <t>Question Type - Type of the question:
               Clarification - Ask for explanation about points/issues FPT don't fully understand
               Confirmation - Ask the customer to confirm a solution proposed by FPT
               Customer Defect - The issue referred by the question is a customer's defect.</t>
        </is>
      </c>
      <c r="L28" s="99" t="n"/>
    </row>
    <row r="29" ht="33.75" customFormat="1" customHeight="1" s="32">
      <c r="A29" s="30" t="n"/>
      <c r="B29" s="31" t="n"/>
      <c r="C29" s="85" t="inlineStr">
        <is>
          <t>Process specifies process/activities for which the question raised. This category could be customized by projects to fit their need. In normal case, it contains:</t>
        </is>
      </c>
      <c r="L29" s="99" t="n"/>
    </row>
    <row r="30" ht="21.75" customFormat="1" customHeight="1" s="28">
      <c r="A30" s="21" t="n"/>
      <c r="B30" s="33" t="n"/>
      <c r="C30" s="34" t="n"/>
      <c r="D30" s="85" t="inlineStr">
        <is>
          <t>Requirement: questions on user requirements, Functional specification or GUI prototype</t>
        </is>
      </c>
      <c r="L30" s="99" t="n"/>
    </row>
    <row r="31" ht="21.75" customFormat="1" customHeight="1" s="28">
      <c r="A31" s="21" t="n"/>
      <c r="B31" s="33" t="n"/>
      <c r="C31" s="34" t="n"/>
      <c r="D31" s="85" t="inlineStr">
        <is>
          <t>Design: questions on design, system architecture, detail designs</t>
        </is>
      </c>
      <c r="L31" s="99" t="n"/>
    </row>
    <row r="32" ht="21.75" customFormat="1" customHeight="1" s="28">
      <c r="A32" s="21" t="n"/>
      <c r="B32" s="33" t="n"/>
      <c r="C32" s="34" t="n"/>
      <c r="D32" s="85" t="inlineStr">
        <is>
          <t>Coding: questions on coding, coding convention, coding techniques</t>
        </is>
      </c>
      <c r="L32" s="99" t="n"/>
    </row>
    <row r="33" ht="21.75" customFormat="1" customHeight="1" s="28">
      <c r="A33" s="21" t="n"/>
      <c r="B33" s="33" t="n"/>
      <c r="C33" s="34" t="n"/>
      <c r="D33" s="85" t="inlineStr">
        <is>
          <t>Deployment: questions on deployment, deployment environments, installation, etc</t>
        </is>
      </c>
      <c r="L33" s="99" t="n"/>
    </row>
    <row r="34" ht="21.75" customFormat="1" customHeight="1" s="28">
      <c r="A34" s="21" t="n"/>
      <c r="B34" s="33" t="n"/>
      <c r="C34" s="34" t="n"/>
      <c r="D34" s="85" t="inlineStr">
        <is>
          <t>Test: questions on Test point of view, Test cases, Test plan, Test report, Test data, etc.</t>
        </is>
      </c>
      <c r="L34" s="99" t="n"/>
    </row>
    <row r="35" ht="31.5" customFormat="1" customHeight="1" s="28">
      <c r="A35" s="21" t="n"/>
      <c r="B35" s="33" t="n"/>
      <c r="C35" s="34" t="n"/>
      <c r="D35" s="85" t="inlineStr">
        <is>
          <t>Project management: questions on project scope, acceptance criteria, schedule, effort change, working procedures, etc…</t>
        </is>
      </c>
      <c r="L35" s="99" t="n"/>
    </row>
    <row r="36" ht="22.5" customFormat="1" customHeight="1" s="29">
      <c r="A36" s="64" t="n"/>
      <c r="B36" s="61" t="inlineStr">
        <is>
          <t>4. Procedure of Q&amp;A Management( Q&amp;A between Project team and BA can be proceeded 2 times per day at 9AM and 1PM)</t>
        </is>
      </c>
      <c r="C36" s="29" t="n"/>
      <c r="D36" s="29" t="n"/>
      <c r="E36" s="29" t="n"/>
      <c r="F36" s="29" t="n"/>
      <c r="G36" s="29" t="n"/>
      <c r="H36" s="29" t="n"/>
      <c r="I36" s="29" t="n"/>
      <c r="J36" s="29" t="n"/>
      <c r="K36" s="29" t="n"/>
      <c r="L36" s="17" t="n"/>
    </row>
    <row r="37">
      <c r="A37" s="65" t="n"/>
      <c r="B37" s="62" t="n"/>
      <c r="C37" s="62" t="n"/>
      <c r="D37" s="62" t="n"/>
      <c r="E37" s="62" t="n"/>
      <c r="F37" s="62" t="n"/>
      <c r="G37" s="62" t="n"/>
      <c r="H37" s="62" t="n"/>
      <c r="I37" s="62" t="n"/>
      <c r="J37" s="62" t="n"/>
      <c r="K37" s="62" t="n"/>
      <c r="L37" s="63" t="n"/>
    </row>
    <row r="38">
      <c r="A38" s="65" t="n"/>
      <c r="B38" s="62" t="n"/>
      <c r="C38" s="62" t="n"/>
      <c r="D38" s="62" t="n"/>
      <c r="E38" s="62" t="n"/>
      <c r="F38" s="62" t="n"/>
      <c r="G38" s="62" t="n"/>
      <c r="H38" s="62" t="n"/>
      <c r="I38" s="62" t="n"/>
      <c r="J38" s="62" t="n"/>
      <c r="K38" s="62" t="n"/>
      <c r="L38" s="63" t="n"/>
    </row>
    <row r="39">
      <c r="A39" s="65" t="n"/>
      <c r="B39" s="62" t="n"/>
      <c r="C39" s="62" t="n"/>
      <c r="D39" s="62" t="n"/>
      <c r="E39" s="62" t="n"/>
      <c r="F39" s="62" t="n"/>
      <c r="G39" s="62" t="n"/>
      <c r="H39" s="62" t="n"/>
      <c r="I39" s="62" t="n"/>
      <c r="J39" s="62" t="n"/>
      <c r="K39" s="62" t="n"/>
      <c r="L39" s="63" t="n"/>
    </row>
    <row r="40">
      <c r="A40" s="65" t="n"/>
      <c r="B40" s="62" t="n"/>
      <c r="C40" s="62" t="n"/>
      <c r="D40" s="62" t="n"/>
      <c r="E40" s="62" t="n"/>
      <c r="F40" s="62" t="n"/>
      <c r="G40" s="62" t="n"/>
      <c r="H40" s="62" t="n"/>
      <c r="I40" s="62" t="n"/>
      <c r="J40" s="62" t="n"/>
      <c r="K40" s="62" t="n"/>
      <c r="L40" s="63" t="n"/>
    </row>
    <row r="41">
      <c r="A41" s="65" t="n"/>
      <c r="B41" s="62" t="n"/>
      <c r="C41" s="62" t="n"/>
      <c r="D41" s="62" t="n"/>
      <c r="E41" s="62" t="n"/>
      <c r="F41" s="62" t="n"/>
      <c r="G41" s="62" t="n"/>
      <c r="H41" s="62" t="n"/>
      <c r="I41" s="62" t="n"/>
      <c r="J41" s="62" t="n"/>
      <c r="K41" s="62" t="n"/>
      <c r="L41" s="63" t="n"/>
    </row>
    <row r="42">
      <c r="A42" s="65" t="n"/>
      <c r="B42" s="62" t="n"/>
      <c r="C42" s="62" t="n"/>
      <c r="D42" s="62" t="n"/>
      <c r="E42" s="62" t="n"/>
      <c r="F42" s="62" t="n"/>
      <c r="G42" s="62" t="n"/>
      <c r="H42" s="62" t="n"/>
      <c r="I42" s="62" t="n"/>
      <c r="J42" s="62" t="n"/>
      <c r="K42" s="62" t="n"/>
      <c r="L42" s="63" t="n"/>
    </row>
    <row r="43">
      <c r="A43" s="65" t="n"/>
      <c r="B43" s="62" t="n"/>
      <c r="C43" s="62" t="n"/>
      <c r="D43" s="62" t="n"/>
      <c r="E43" s="62" t="n"/>
      <c r="F43" s="62" t="n"/>
      <c r="G43" s="62" t="n"/>
      <c r="H43" s="62" t="n"/>
      <c r="I43" s="62" t="n"/>
      <c r="J43" s="62" t="n"/>
      <c r="K43" s="62" t="n"/>
      <c r="L43" s="63" t="n"/>
    </row>
    <row r="44">
      <c r="A44" s="65" t="n"/>
      <c r="B44" s="62" t="n"/>
      <c r="C44" s="62" t="n"/>
      <c r="D44" s="62" t="n"/>
      <c r="E44" s="62" t="n"/>
      <c r="F44" s="62" t="n"/>
      <c r="G44" s="62" t="n"/>
      <c r="H44" s="62" t="n"/>
      <c r="I44" s="62" t="n"/>
      <c r="J44" s="62" t="n"/>
      <c r="K44" s="62" t="n"/>
      <c r="L44" s="63" t="n"/>
    </row>
    <row r="45">
      <c r="A45" s="65" t="n"/>
      <c r="B45" s="62" t="n"/>
      <c r="C45" s="62" t="n"/>
      <c r="D45" s="62" t="n"/>
      <c r="E45" s="62" t="n"/>
      <c r="F45" s="62" t="n"/>
      <c r="G45" s="62" t="n"/>
      <c r="H45" s="62" t="n"/>
      <c r="I45" s="62" t="n"/>
      <c r="J45" s="62" t="n"/>
      <c r="K45" s="62" t="n"/>
      <c r="L45" s="63" t="n"/>
    </row>
    <row r="46">
      <c r="A46" s="65" t="n"/>
      <c r="B46" s="62" t="n"/>
      <c r="C46" s="62" t="n"/>
      <c r="D46" s="62" t="n"/>
      <c r="E46" s="62" t="n"/>
      <c r="F46" s="62" t="n"/>
      <c r="G46" s="62" t="n"/>
      <c r="H46" s="62" t="n"/>
      <c r="I46" s="62" t="n"/>
      <c r="J46" s="62" t="n"/>
      <c r="K46" s="62" t="n"/>
      <c r="L46" s="63" t="n"/>
    </row>
    <row r="47">
      <c r="A47" s="65" t="n"/>
      <c r="B47" s="62" t="n"/>
      <c r="C47" s="62" t="n"/>
      <c r="D47" s="62" t="n"/>
      <c r="E47" s="62" t="n"/>
      <c r="F47" s="62" t="n"/>
      <c r="G47" s="62" t="n"/>
      <c r="H47" s="62" t="n"/>
      <c r="I47" s="62" t="n"/>
      <c r="J47" s="62" t="n"/>
      <c r="K47" s="62" t="n"/>
      <c r="L47" s="63" t="n"/>
    </row>
    <row r="48">
      <c r="A48" s="65" t="n"/>
      <c r="B48" s="62" t="n"/>
      <c r="C48" s="62" t="n"/>
      <c r="D48" s="62" t="n"/>
      <c r="E48" s="62" t="n"/>
      <c r="F48" s="62" t="n"/>
      <c r="G48" s="62" t="n"/>
      <c r="H48" s="62" t="n"/>
      <c r="I48" s="62" t="n"/>
      <c r="J48" s="62" t="n"/>
      <c r="K48" s="62" t="n"/>
      <c r="L48" s="63" t="n"/>
    </row>
    <row r="49">
      <c r="A49" s="65" t="n"/>
      <c r="B49" s="62" t="n"/>
      <c r="C49" s="62" t="n"/>
      <c r="D49" s="62" t="n"/>
      <c r="E49" s="62" t="n"/>
      <c r="F49" s="62" t="n"/>
      <c r="G49" s="62" t="n"/>
      <c r="H49" s="62" t="n"/>
      <c r="I49" s="62" t="n"/>
      <c r="J49" s="62" t="n"/>
      <c r="K49" s="62" t="n"/>
      <c r="L49" s="63" t="n"/>
    </row>
    <row r="50">
      <c r="A50" s="65" t="n"/>
      <c r="B50" s="62" t="n"/>
      <c r="C50" s="62" t="n"/>
      <c r="D50" s="62" t="n"/>
      <c r="E50" s="62" t="n"/>
      <c r="F50" s="62" t="n"/>
      <c r="G50" s="62" t="n"/>
      <c r="H50" s="62" t="n"/>
      <c r="I50" s="62" t="n"/>
      <c r="J50" s="62" t="n"/>
      <c r="K50" s="62" t="n"/>
      <c r="L50" s="63" t="n"/>
    </row>
    <row r="51">
      <c r="A51" s="65" t="n"/>
      <c r="B51" s="62" t="n"/>
      <c r="C51" s="62" t="n"/>
      <c r="D51" s="62" t="n"/>
      <c r="E51" s="62" t="n"/>
      <c r="F51" s="62" t="n"/>
      <c r="G51" s="62" t="n"/>
      <c r="H51" s="62" t="n"/>
      <c r="I51" s="62" t="n"/>
      <c r="J51" s="62" t="n"/>
      <c r="K51" s="62" t="n"/>
      <c r="L51" s="63" t="n"/>
    </row>
    <row r="52">
      <c r="A52" s="65" t="n"/>
      <c r="B52" s="62" t="n"/>
      <c r="C52" s="62" t="n"/>
      <c r="D52" s="62" t="n"/>
      <c r="E52" s="62" t="n"/>
      <c r="F52" s="62" t="n"/>
      <c r="G52" s="62" t="n"/>
      <c r="H52" s="62" t="n"/>
      <c r="I52" s="62" t="n"/>
      <c r="J52" s="62" t="n"/>
      <c r="K52" s="62" t="n"/>
      <c r="L52" s="63" t="n"/>
    </row>
    <row r="53">
      <c r="A53" s="65" t="n"/>
      <c r="B53" s="62" t="n"/>
      <c r="C53" s="62" t="n"/>
      <c r="D53" s="62" t="n"/>
      <c r="E53" s="62" t="n"/>
      <c r="F53" s="62" t="n"/>
      <c r="G53" s="62" t="n"/>
      <c r="H53" s="62" t="n"/>
      <c r="I53" s="62" t="n"/>
      <c r="J53" s="62" t="n"/>
      <c r="K53" s="62" t="n"/>
      <c r="L53" s="63" t="n"/>
    </row>
    <row r="54">
      <c r="A54" s="65" t="n"/>
      <c r="B54" s="62" t="n"/>
      <c r="C54" s="62" t="n"/>
      <c r="D54" s="62" t="n"/>
      <c r="E54" s="62" t="n"/>
      <c r="F54" s="62" t="n"/>
      <c r="G54" s="62" t="n"/>
      <c r="H54" s="62" t="n"/>
      <c r="I54" s="62" t="n"/>
      <c r="J54" s="62" t="n"/>
      <c r="K54" s="62" t="n"/>
      <c r="L54" s="63" t="n"/>
    </row>
    <row r="55">
      <c r="A55" s="65" t="n"/>
      <c r="B55" s="62" t="n"/>
      <c r="C55" s="62" t="n"/>
      <c r="D55" s="62" t="n"/>
      <c r="E55" s="62" t="n"/>
      <c r="F55" s="62" t="n"/>
      <c r="G55" s="62" t="n"/>
      <c r="H55" s="62" t="n"/>
      <c r="I55" s="62" t="n"/>
      <c r="J55" s="62" t="n"/>
      <c r="K55" s="62" t="n"/>
      <c r="L55" s="63" t="n"/>
    </row>
    <row r="56">
      <c r="A56" s="65" t="n"/>
      <c r="B56" s="62" t="n"/>
      <c r="C56" s="62" t="n"/>
      <c r="D56" s="62" t="n"/>
      <c r="E56" s="62" t="n"/>
      <c r="F56" s="62" t="n"/>
      <c r="G56" s="62" t="n"/>
      <c r="H56" s="62" t="n"/>
      <c r="I56" s="62" t="n"/>
      <c r="J56" s="62" t="n"/>
      <c r="K56" s="62" t="n"/>
      <c r="L56" s="63" t="n"/>
    </row>
    <row r="57">
      <c r="A57" s="65" t="n"/>
      <c r="B57" s="62" t="n"/>
      <c r="C57" s="62" t="n"/>
      <c r="D57" s="62" t="n"/>
      <c r="E57" s="62" t="n"/>
      <c r="F57" s="62" t="n"/>
      <c r="G57" s="62" t="n"/>
      <c r="H57" s="62" t="n"/>
      <c r="I57" s="62" t="n"/>
      <c r="J57" s="62" t="n"/>
      <c r="K57" s="62" t="n"/>
      <c r="L57" s="63" t="n"/>
    </row>
    <row r="58">
      <c r="A58" s="65" t="n"/>
      <c r="B58" s="62" t="n"/>
      <c r="C58" s="62" t="n"/>
      <c r="D58" s="62" t="n"/>
      <c r="E58" s="62" t="n"/>
      <c r="F58" s="62" t="n"/>
      <c r="G58" s="62" t="n"/>
      <c r="H58" s="62" t="n"/>
      <c r="I58" s="62" t="n"/>
      <c r="J58" s="62" t="n"/>
      <c r="K58" s="62" t="n"/>
      <c r="L58" s="63" t="n"/>
    </row>
    <row r="59">
      <c r="A59" s="65" t="n"/>
      <c r="B59" s="62" t="n"/>
      <c r="C59" s="62" t="n"/>
      <c r="D59" s="62" t="n"/>
      <c r="E59" s="62" t="n"/>
      <c r="F59" s="62" t="n"/>
      <c r="G59" s="62" t="n"/>
      <c r="H59" s="62" t="n"/>
      <c r="I59" s="62" t="n"/>
      <c r="J59" s="62" t="n"/>
      <c r="K59" s="62" t="n"/>
      <c r="L59" s="63" t="n"/>
    </row>
    <row r="60">
      <c r="A60" s="65" t="n"/>
      <c r="B60" s="62" t="n"/>
      <c r="C60" s="62" t="n"/>
      <c r="D60" s="62" t="n"/>
      <c r="E60" s="62" t="n"/>
      <c r="F60" s="62" t="n"/>
      <c r="G60" s="62" t="n"/>
      <c r="H60" s="62" t="n"/>
      <c r="I60" s="62" t="n"/>
      <c r="J60" s="62" t="n"/>
      <c r="K60" s="62" t="n"/>
      <c r="L60" s="63" t="n"/>
    </row>
    <row r="61">
      <c r="A61" s="65" t="n"/>
      <c r="B61" s="62" t="n"/>
      <c r="C61" s="62" t="n"/>
      <c r="D61" s="62" t="n"/>
      <c r="E61" s="62" t="n"/>
      <c r="F61" s="62" t="n"/>
      <c r="G61" s="62" t="n"/>
      <c r="H61" s="62" t="n"/>
      <c r="I61" s="62" t="n"/>
      <c r="J61" s="62" t="n"/>
      <c r="K61" s="62" t="n"/>
      <c r="L61" s="63" t="n"/>
    </row>
    <row r="62">
      <c r="A62" s="65" t="n"/>
      <c r="B62" s="62" t="n"/>
      <c r="C62" s="62" t="n"/>
      <c r="D62" s="62" t="n"/>
      <c r="E62" s="62" t="n"/>
      <c r="F62" s="62" t="n"/>
      <c r="G62" s="62" t="n"/>
      <c r="H62" s="62" t="n"/>
      <c r="I62" s="62" t="n"/>
      <c r="J62" s="62" t="n"/>
      <c r="K62" s="62" t="n"/>
      <c r="L62" s="63" t="n"/>
    </row>
    <row r="63">
      <c r="A63" s="65" t="n"/>
      <c r="B63" s="62" t="n"/>
      <c r="C63" s="62" t="n"/>
      <c r="D63" s="62" t="n"/>
      <c r="E63" s="62" t="n"/>
      <c r="F63" s="62" t="n"/>
      <c r="G63" s="62" t="n"/>
      <c r="H63" s="62" t="n"/>
      <c r="I63" s="62" t="n"/>
      <c r="J63" s="62" t="n"/>
      <c r="K63" s="62" t="n"/>
      <c r="L63" s="63" t="n"/>
    </row>
    <row r="64">
      <c r="A64" s="65" t="n"/>
      <c r="B64" s="62" t="n"/>
      <c r="C64" s="62" t="n"/>
      <c r="D64" s="62" t="n"/>
      <c r="E64" s="62" t="n"/>
      <c r="F64" s="62" t="n"/>
      <c r="G64" s="62" t="n"/>
      <c r="H64" s="62" t="n"/>
      <c r="I64" s="62" t="n"/>
      <c r="J64" s="62" t="n"/>
      <c r="K64" s="62" t="n"/>
      <c r="L64" s="63" t="n"/>
    </row>
    <row r="65">
      <c r="A65" s="65" t="n"/>
      <c r="B65" s="62" t="n"/>
      <c r="C65" s="62" t="n"/>
      <c r="D65" s="62" t="n"/>
      <c r="E65" s="62" t="n"/>
      <c r="F65" s="62" t="n"/>
      <c r="G65" s="62" t="n"/>
      <c r="H65" s="62" t="n"/>
      <c r="I65" s="62" t="n"/>
      <c r="J65" s="62" t="n"/>
      <c r="K65" s="62" t="n"/>
      <c r="L65" s="63" t="n"/>
    </row>
    <row r="66">
      <c r="A66" s="65" t="n"/>
      <c r="B66" s="62" t="n"/>
      <c r="C66" s="62" t="n"/>
      <c r="D66" s="62" t="n"/>
      <c r="E66" s="62" t="n"/>
      <c r="F66" s="62" t="n"/>
      <c r="G66" s="62" t="n"/>
      <c r="H66" s="62" t="n"/>
      <c r="I66" s="62" t="n"/>
      <c r="J66" s="62" t="n"/>
      <c r="K66" s="62" t="n"/>
      <c r="L66" s="63" t="n"/>
    </row>
    <row r="67">
      <c r="A67" s="65" t="n"/>
      <c r="B67" s="62" t="n"/>
      <c r="C67" s="62" t="n"/>
      <c r="D67" s="62" t="n"/>
      <c r="E67" s="62" t="n"/>
      <c r="F67" s="62" t="n"/>
      <c r="G67" s="62" t="n"/>
      <c r="H67" s="62" t="n"/>
      <c r="I67" s="62" t="n"/>
      <c r="J67" s="62" t="n"/>
      <c r="K67" s="62" t="n"/>
      <c r="L67" s="63" t="n"/>
    </row>
    <row r="68">
      <c r="A68" s="65" t="n"/>
      <c r="B68" s="62" t="n"/>
      <c r="C68" s="62" t="n"/>
      <c r="D68" s="62" t="n"/>
      <c r="E68" s="62" t="n"/>
      <c r="F68" s="62" t="n"/>
      <c r="G68" s="62" t="n"/>
      <c r="H68" s="62" t="n"/>
      <c r="I68" s="62" t="n"/>
      <c r="J68" s="62" t="n"/>
      <c r="K68" s="62" t="n"/>
      <c r="L68" s="63" t="n"/>
    </row>
    <row r="69">
      <c r="A69" s="65" t="n"/>
      <c r="B69" s="62" t="n"/>
      <c r="C69" s="62" t="n"/>
      <c r="D69" s="62" t="n"/>
      <c r="E69" s="62" t="n"/>
      <c r="F69" s="62" t="n"/>
      <c r="G69" s="62" t="n"/>
      <c r="H69" s="62" t="n"/>
      <c r="I69" s="62" t="n"/>
      <c r="J69" s="62" t="n"/>
      <c r="K69" s="62" t="n"/>
      <c r="L69" s="63" t="n"/>
    </row>
    <row r="70">
      <c r="A70" s="65" t="n"/>
      <c r="B70" s="62" t="n"/>
      <c r="C70" s="62" t="n"/>
      <c r="D70" s="62" t="n"/>
      <c r="E70" s="62" t="n"/>
      <c r="F70" s="62" t="n"/>
      <c r="G70" s="62" t="n"/>
      <c r="H70" s="62" t="n"/>
      <c r="I70" s="62" t="n"/>
      <c r="J70" s="62" t="n"/>
      <c r="K70" s="62" t="n"/>
      <c r="L70" s="63" t="n"/>
    </row>
    <row r="71">
      <c r="A71" s="65" t="n"/>
      <c r="B71" s="62" t="n"/>
      <c r="C71" s="62" t="n"/>
      <c r="D71" s="62" t="n"/>
      <c r="E71" s="62" t="n"/>
      <c r="F71" s="62" t="n"/>
      <c r="G71" s="62" t="n"/>
      <c r="H71" s="62" t="n"/>
      <c r="I71" s="62" t="n"/>
      <c r="J71" s="62" t="n"/>
      <c r="K71" s="62" t="n"/>
      <c r="L71" s="63" t="n"/>
    </row>
    <row r="72">
      <c r="A72" s="65" t="n"/>
      <c r="B72" s="62" t="n"/>
      <c r="C72" s="62" t="n"/>
      <c r="D72" s="62" t="n"/>
      <c r="E72" s="62" t="n"/>
      <c r="F72" s="62" t="n"/>
      <c r="G72" s="62" t="n"/>
      <c r="H72" s="62" t="n"/>
      <c r="I72" s="62" t="n"/>
      <c r="J72" s="62" t="n"/>
      <c r="K72" s="62" t="n"/>
      <c r="L72" s="63" t="n"/>
    </row>
    <row r="73">
      <c r="A73" s="65" t="n"/>
      <c r="B73" s="62" t="n"/>
      <c r="C73" s="62" t="n"/>
      <c r="D73" s="62" t="n"/>
      <c r="E73" s="62" t="n"/>
      <c r="F73" s="62" t="n"/>
      <c r="G73" s="62" t="n"/>
      <c r="H73" s="62" t="n"/>
      <c r="I73" s="62" t="n"/>
      <c r="J73" s="62" t="n"/>
      <c r="K73" s="62" t="n"/>
      <c r="L73" s="63" t="n"/>
    </row>
    <row r="74">
      <c r="A74" s="65" t="n"/>
      <c r="B74" s="62" t="n"/>
      <c r="C74" s="62" t="n"/>
      <c r="D74" s="62" t="n"/>
      <c r="E74" s="62" t="n"/>
      <c r="F74" s="62" t="n"/>
      <c r="G74" s="62" t="n"/>
      <c r="H74" s="62" t="n"/>
      <c r="I74" s="62" t="n"/>
      <c r="J74" s="62" t="n"/>
      <c r="K74" s="62" t="n"/>
      <c r="L74" s="63" t="n"/>
    </row>
    <row r="75">
      <c r="A75" s="65" t="n"/>
      <c r="B75" s="62" t="n"/>
      <c r="C75" s="62" t="n"/>
      <c r="D75" s="62" t="n"/>
      <c r="E75" s="62" t="n"/>
      <c r="F75" s="62" t="n"/>
      <c r="G75" s="62" t="n"/>
      <c r="H75" s="62" t="n"/>
      <c r="I75" s="62" t="n"/>
      <c r="J75" s="62" t="n"/>
      <c r="K75" s="62" t="n"/>
      <c r="L75" s="63" t="n"/>
    </row>
    <row r="76">
      <c r="A76" s="65" t="n"/>
      <c r="B76" s="62" t="n"/>
      <c r="C76" s="62" t="n"/>
      <c r="D76" s="62" t="n"/>
      <c r="E76" s="62" t="n"/>
      <c r="F76" s="62" t="n"/>
      <c r="G76" s="62" t="n"/>
      <c r="H76" s="62" t="n"/>
      <c r="I76" s="62" t="n"/>
      <c r="J76" s="62" t="n"/>
      <c r="K76" s="62" t="n"/>
      <c r="L76" s="63" t="n"/>
    </row>
    <row r="77">
      <c r="A77" s="65" t="n"/>
      <c r="B77" s="62" t="n"/>
      <c r="C77" s="62" t="n"/>
      <c r="D77" s="62" t="n"/>
      <c r="E77" s="62" t="n"/>
      <c r="F77" s="62" t="n"/>
      <c r="G77" s="62" t="n"/>
      <c r="H77" s="62" t="n"/>
      <c r="I77" s="62" t="n"/>
      <c r="J77" s="62" t="n"/>
      <c r="K77" s="62" t="n"/>
      <c r="L77" s="63" t="n"/>
    </row>
    <row r="78">
      <c r="A78" s="65" t="n"/>
      <c r="B78" s="62" t="n"/>
      <c r="C78" s="62" t="n"/>
      <c r="D78" s="62" t="n"/>
      <c r="E78" s="62" t="n"/>
      <c r="F78" s="62" t="n"/>
      <c r="G78" s="62" t="n"/>
      <c r="H78" s="62" t="n"/>
      <c r="I78" s="62" t="n"/>
      <c r="J78" s="62" t="n"/>
      <c r="K78" s="62" t="n"/>
      <c r="L78" s="63" t="n"/>
    </row>
    <row r="79">
      <c r="A79" s="65" t="n"/>
      <c r="B79" s="62" t="n"/>
      <c r="C79" s="62" t="n"/>
      <c r="D79" s="62" t="n"/>
      <c r="E79" s="62" t="n"/>
      <c r="F79" s="62" t="n"/>
      <c r="G79" s="62" t="n"/>
      <c r="H79" s="62" t="n"/>
      <c r="I79" s="62" t="n"/>
      <c r="J79" s="62" t="n"/>
      <c r="K79" s="62" t="n"/>
      <c r="L79" s="63" t="n"/>
    </row>
    <row r="80">
      <c r="A80" s="65" t="n"/>
      <c r="B80" s="62" t="n"/>
      <c r="C80" s="62" t="n"/>
      <c r="D80" s="62" t="n"/>
      <c r="E80" s="62" t="n"/>
      <c r="F80" s="62" t="n"/>
      <c r="G80" s="62" t="n"/>
      <c r="H80" s="62" t="n"/>
      <c r="I80" s="62" t="n"/>
      <c r="J80" s="62" t="n"/>
      <c r="K80" s="62" t="n"/>
      <c r="L80" s="63" t="n"/>
    </row>
    <row r="81">
      <c r="A81" s="65" t="n"/>
      <c r="B81" s="62" t="n"/>
      <c r="C81" s="62" t="n"/>
      <c r="D81" s="62" t="n"/>
      <c r="E81" s="62" t="n"/>
      <c r="F81" s="62" t="n"/>
      <c r="G81" s="62" t="n"/>
      <c r="H81" s="62" t="n"/>
      <c r="I81" s="62" t="n"/>
      <c r="J81" s="62" t="n"/>
      <c r="K81" s="62" t="n"/>
      <c r="L81" s="63" t="n"/>
    </row>
    <row r="82">
      <c r="A82" s="65" t="n"/>
      <c r="B82" s="62" t="n"/>
      <c r="C82" s="62" t="n"/>
      <c r="D82" s="62" t="n"/>
      <c r="E82" s="62" t="n"/>
      <c r="F82" s="62" t="n"/>
      <c r="G82" s="62" t="n"/>
      <c r="H82" s="62" t="n"/>
      <c r="I82" s="62" t="n"/>
      <c r="J82" s="62" t="n"/>
      <c r="K82" s="62" t="n"/>
      <c r="L82" s="63" t="n"/>
    </row>
    <row r="83">
      <c r="A83" s="66" t="n"/>
      <c r="B83" s="37" t="n"/>
      <c r="C83" s="37" t="n"/>
      <c r="D83" s="37" t="n"/>
      <c r="E83" s="37" t="n"/>
      <c r="F83" s="37" t="n"/>
      <c r="G83" s="37" t="n"/>
      <c r="H83" s="37" t="n"/>
      <c r="I83" s="37" t="n"/>
      <c r="J83" s="37" t="n"/>
      <c r="K83" s="37" t="n"/>
      <c r="L83" s="38" t="n"/>
    </row>
  </sheetData>
  <mergeCells count="20">
    <mergeCell ref="C27:L27"/>
    <mergeCell ref="C23:L23"/>
    <mergeCell ref="C17:L17"/>
    <mergeCell ref="D32:L32"/>
    <mergeCell ref="C28:L28"/>
    <mergeCell ref="C19:L19"/>
    <mergeCell ref="C18:L18"/>
    <mergeCell ref="C24:L24"/>
    <mergeCell ref="D30:L30"/>
    <mergeCell ref="D33:L33"/>
    <mergeCell ref="C26:L26"/>
    <mergeCell ref="C29:L29"/>
    <mergeCell ref="C20:L20"/>
    <mergeCell ref="D35:L35"/>
    <mergeCell ref="C25:L25"/>
    <mergeCell ref="D34:L34"/>
    <mergeCell ref="C22:L22"/>
    <mergeCell ref="A1:L1"/>
    <mergeCell ref="C21:L21"/>
    <mergeCell ref="D31:L31"/>
  </mergeCells>
  <pageMargins left="0.28" right="0.18" top="0.26" bottom="0.63" header="0" footer="0.31"/>
  <pageSetup orientation="portrait" paperSize="9"/>
  <headerFooter alignWithMargins="0">
    <oddHeader/>
    <oddFooter>&amp;L&amp;"Tahoma,Regular"49e-BM/PM/HDCV/FSOFT v2/1&amp;C&amp;"Tahoma,Regular"Internal use&amp;R&amp;"Tahoma,Regular"&amp;P/&amp;N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22"/>
  <sheetViews>
    <sheetView showGridLines="0" tabSelected="1" view="pageBreakPreview" zoomScaleNormal="100" zoomScaleSheetLayoutView="100" workbookViewId="0">
      <selection activeCell="A1" sqref="A1"/>
    </sheetView>
  </sheetViews>
  <sheetFormatPr baseColWidth="8" defaultColWidth="9.1796875" defaultRowHeight="12.5"/>
  <cols>
    <col width="3.26953125" bestFit="1" customWidth="1" style="11" min="1" max="1"/>
    <col width="22.54296875" customWidth="1" style="11" min="2" max="2"/>
    <col width="20" customWidth="1" style="100" min="3" max="3"/>
    <col width="16.54296875" customWidth="1" style="11" min="4" max="4"/>
    <col width="27.81640625" customWidth="1" style="11" min="5" max="5"/>
    <col width="8" customWidth="1" style="11" min="6" max="6"/>
    <col width="10.26953125" bestFit="1" customWidth="1" style="11" min="7" max="7"/>
    <col width="9.81640625" bestFit="1" customWidth="1" style="11" min="8" max="8"/>
    <col width="11" customWidth="1" style="11" min="9" max="9"/>
    <col width="9.453125" bestFit="1" customWidth="1" style="11" min="10" max="10"/>
    <col width="12.26953125" customWidth="1" style="11" min="11" max="11"/>
    <col width="10" bestFit="1" customWidth="1" style="100" min="12" max="12"/>
    <col width="16.81640625" customWidth="1" style="100" min="13" max="14"/>
    <col width="14.453125" bestFit="1" customWidth="1" style="100" min="15" max="15"/>
    <col hidden="1" width="12.54296875" customWidth="1" style="100" min="16" max="16"/>
    <col width="12.453125" customWidth="1" style="11" min="17" max="17"/>
    <col hidden="1" width="8.81640625" customWidth="1" style="11" min="18" max="18"/>
    <col hidden="1" width="9.453125" customWidth="1" style="11" min="19" max="19"/>
    <col width="9.1796875" customWidth="1" style="11" min="20" max="16384"/>
  </cols>
  <sheetData>
    <row r="1" ht="18" customFormat="1" customHeight="1" s="28">
      <c r="A1" s="2" t="n"/>
      <c r="B1" s="2" t="n"/>
      <c r="C1" s="2" t="inlineStr">
        <is>
          <t>Q&amp;A Management Sheet</t>
        </is>
      </c>
      <c r="D1" s="2" t="n"/>
      <c r="E1" s="2" t="n"/>
      <c r="F1" s="2" t="n"/>
      <c r="G1" s="2" t="n"/>
      <c r="H1" s="2" t="n"/>
      <c r="I1" s="2" t="n"/>
      <c r="J1" s="2" t="n"/>
      <c r="K1" s="2" t="n"/>
      <c r="L1" s="101" t="n"/>
      <c r="M1" s="101" t="n"/>
      <c r="N1" s="101" t="n"/>
      <c r="O1" s="101" t="n"/>
      <c r="P1" s="101" t="n"/>
      <c r="Q1" s="102" t="n"/>
      <c r="R1" s="2" t="n"/>
      <c r="S1" s="2" t="n"/>
    </row>
    <row r="2" ht="12.75" customFormat="1" customHeight="1" s="12">
      <c r="A2" s="13" t="n"/>
      <c r="B2" s="13" t="n"/>
      <c r="C2" s="103" t="n"/>
      <c r="D2" s="13" t="n"/>
      <c r="E2" s="13" t="n"/>
      <c r="F2" s="13" t="n"/>
      <c r="G2" s="13" t="n"/>
      <c r="H2" s="13" t="n"/>
      <c r="I2" s="13" t="n"/>
      <c r="J2" s="13" t="n"/>
      <c r="K2" s="13" t="n"/>
      <c r="L2" s="103" t="n"/>
      <c r="M2" s="103" t="n"/>
      <c r="N2" s="103" t="n"/>
      <c r="O2" s="103" t="n"/>
      <c r="P2" s="103" t="n"/>
      <c r="Q2" s="104" t="n"/>
      <c r="R2" s="13" t="n"/>
      <c r="S2" s="13" t="n"/>
    </row>
    <row r="3" ht="12.75" customFormat="1" customHeight="1" s="12">
      <c r="C3" s="76" t="inlineStr">
        <is>
          <t>Project Name:</t>
        </is>
      </c>
      <c r="D3" s="68" t="n"/>
      <c r="G3" s="13" t="n"/>
      <c r="H3" s="13" t="n"/>
      <c r="I3" s="13" t="n"/>
      <c r="J3" s="13" t="n"/>
      <c r="K3" s="13" t="n"/>
      <c r="L3" s="103" t="n"/>
      <c r="M3" s="103" t="n"/>
      <c r="N3" s="103" t="n"/>
      <c r="O3" s="103" t="n"/>
      <c r="P3" s="103" t="n"/>
      <c r="Q3" s="104" t="n"/>
      <c r="R3" s="13" t="n"/>
      <c r="S3" s="13" t="n"/>
    </row>
    <row r="4" ht="12.75" customFormat="1" customHeight="1" s="12">
      <c r="C4" s="7" t="inlineStr">
        <is>
          <t>Q&amp;A Manager:</t>
        </is>
      </c>
      <c r="D4" s="69" t="n"/>
      <c r="G4" s="13" t="n"/>
      <c r="H4" s="13" t="n"/>
      <c r="I4" s="13" t="n"/>
      <c r="J4" s="13" t="n"/>
      <c r="K4" s="13" t="n"/>
      <c r="L4" s="103" t="n"/>
      <c r="M4" s="103" t="n"/>
      <c r="N4" s="103" t="n"/>
      <c r="O4" s="103" t="n"/>
      <c r="P4" s="103" t="n"/>
      <c r="Q4" s="104" t="n"/>
      <c r="R4" s="13" t="n"/>
      <c r="S4" s="13" t="n"/>
    </row>
    <row r="5" ht="12.75" customFormat="1" customHeight="1" s="12">
      <c r="C5" s="12" t="inlineStr">
        <is>
          <t>Last updated date</t>
        </is>
      </c>
      <c r="D5" s="105">
        <f> NOW()</f>
        <v/>
      </c>
      <c r="G5" s="13" t="n"/>
      <c r="H5" s="13" t="n"/>
      <c r="I5" s="13" t="n"/>
      <c r="J5" s="13" t="n"/>
      <c r="K5" s="13" t="n"/>
      <c r="L5" s="103" t="n"/>
      <c r="M5" s="103" t="n"/>
      <c r="N5" s="103" t="n"/>
      <c r="O5" s="103" t="n"/>
      <c r="P5" s="103" t="n"/>
      <c r="Q5" s="104" t="n"/>
      <c r="R5" s="13" t="n"/>
      <c r="S5" s="13" t="n"/>
    </row>
    <row r="6" ht="12.75" customFormat="1" customHeight="1" s="12">
      <c r="C6" s="7" t="n"/>
      <c r="D6" s="12" t="n"/>
      <c r="G6" s="13" t="n"/>
      <c r="H6" s="13" t="n"/>
      <c r="I6" s="13" t="n"/>
      <c r="J6" s="13" t="n"/>
      <c r="K6" s="13" t="n"/>
      <c r="L6" s="103" t="n"/>
      <c r="M6" s="103" t="n"/>
      <c r="N6" s="103" t="n"/>
      <c r="O6" s="103" t="n"/>
      <c r="P6" s="103" t="n"/>
      <c r="Q6" s="104" t="n"/>
      <c r="R6" s="13" t="n"/>
      <c r="S6" s="13" t="n"/>
    </row>
    <row r="7" customFormat="1" s="9">
      <c r="C7" s="59" t="inlineStr">
        <is>
          <t>No of Open items</t>
        </is>
      </c>
      <c r="D7" s="56">
        <f>COUNTIF(L:L, "Open")</f>
        <v/>
      </c>
      <c r="L7" s="106" t="n"/>
      <c r="M7" s="106" t="n"/>
      <c r="N7" s="106" t="n"/>
      <c r="O7" s="106" t="n"/>
      <c r="P7" s="106" t="n"/>
    </row>
    <row r="8" customFormat="1" s="9">
      <c r="C8" s="58" t="inlineStr">
        <is>
          <t>No of In progress items</t>
        </is>
      </c>
      <c r="D8" s="56">
        <f>COUNTIF(L:L, "In progress")</f>
        <v/>
      </c>
      <c r="L8" s="106" t="n"/>
      <c r="M8" s="106" t="n"/>
      <c r="N8" s="106" t="n"/>
      <c r="O8" s="106" t="n"/>
      <c r="P8" s="106" t="n"/>
    </row>
    <row r="9" customFormat="1" s="9">
      <c r="C9" s="60" t="inlineStr">
        <is>
          <t>No of Closed items</t>
        </is>
      </c>
      <c r="D9" s="56">
        <f>COUNTIF(L:L, "Closed")</f>
        <v/>
      </c>
      <c r="L9" s="106" t="n"/>
      <c r="M9" s="106" t="n"/>
      <c r="N9" s="106" t="n"/>
      <c r="O9" s="106" t="n"/>
      <c r="P9" s="106" t="n"/>
    </row>
    <row r="10" customFormat="1" s="9">
      <c r="C10" s="60" t="inlineStr">
        <is>
          <t>No of Cancelled items</t>
        </is>
      </c>
      <c r="D10" s="56">
        <f>COUNTIF(L:L, "Cancelled")</f>
        <v/>
      </c>
      <c r="L10" s="106" t="n"/>
      <c r="M10" s="106" t="n"/>
      <c r="N10" s="106" t="n"/>
      <c r="O10" s="106" t="n"/>
      <c r="P10" s="106" t="n"/>
    </row>
    <row r="11" ht="13" customFormat="1" customHeight="1" s="11">
      <c r="C11" s="40" t="inlineStr">
        <is>
          <t>Total</t>
        </is>
      </c>
      <c r="D11" s="57">
        <f>SUM(D7:D10)</f>
        <v/>
      </c>
      <c r="L11" s="100" t="n"/>
      <c r="M11" s="100" t="n"/>
      <c r="N11" s="100" t="n"/>
      <c r="O11" s="100" t="n"/>
      <c r="P11" s="100" t="n"/>
    </row>
    <row r="13" ht="11.5" customFormat="1" customHeight="1" s="42">
      <c r="A13" s="41" t="inlineStr">
        <is>
          <t>No</t>
        </is>
      </c>
      <c r="B13" s="41" t="inlineStr">
        <is>
          <t>Object  Name</t>
        </is>
      </c>
      <c r="C13" s="41" t="inlineStr">
        <is>
          <t>Question</t>
        </is>
      </c>
      <c r="D13" s="41" t="n"/>
      <c r="E13" s="41" t="inlineStr">
        <is>
          <t>Answer</t>
        </is>
      </c>
      <c r="F13" s="41" t="inlineStr">
        <is>
          <t>Priority</t>
        </is>
      </c>
      <c r="G13" s="107" t="inlineStr">
        <is>
          <t>Created On</t>
        </is>
      </c>
      <c r="H13" s="41" t="inlineStr">
        <is>
          <t>Created By</t>
        </is>
      </c>
      <c r="I13" s="41" t="inlineStr">
        <is>
          <t>Assigned To</t>
        </is>
      </c>
      <c r="J13" s="107" t="inlineStr">
        <is>
          <t>Deadline</t>
        </is>
      </c>
      <c r="K13" s="107" t="inlineStr">
        <is>
          <t>Answered On</t>
        </is>
      </c>
      <c r="L13" s="41" t="inlineStr">
        <is>
          <t>Status</t>
        </is>
      </c>
      <c r="M13" s="41" t="inlineStr">
        <is>
          <t>Conclusion</t>
        </is>
      </c>
      <c r="N13" s="41" t="inlineStr">
        <is>
          <t>Next Action</t>
        </is>
      </c>
      <c r="O13" s="41" t="inlineStr">
        <is>
          <t>Question Type</t>
        </is>
      </c>
      <c r="P13" s="41" t="inlineStr">
        <is>
          <t>Title</t>
        </is>
      </c>
      <c r="Q13" s="41" t="inlineStr">
        <is>
          <t>Process</t>
        </is>
      </c>
      <c r="R13" s="41" t="inlineStr">
        <is>
          <t>Notes</t>
        </is>
      </c>
      <c r="S13" s="41" t="inlineStr">
        <is>
          <t>Reference</t>
        </is>
      </c>
    </row>
    <row r="14" ht="62.25" customFormat="1" customHeight="1" s="75">
      <c r="A14" s="70" t="n">
        <v>1</v>
      </c>
      <c r="B14" s="77" t="inlineStr">
        <is>
          <t>Quản lý Lead &amp; Cơ hội</t>
        </is>
      </c>
      <c r="C14" s="71" t="inlineStr">
        <is>
          <t>Anh/chị có thể chia sẻ/demo file Excel hoặc biểu mẫu hiện tại đang dùng để quản lý phễu Lead/Cơ hội bán hàng không? Cụ thể hệ thống cần quản lý những thông tin bắt buộc nào khi tạo mới một Lead (VD: Nguồn lead, Phân loại nhu cầu, Tags, Doanh thu dự kiến, % khả năng chốt - Probability)?</t>
        </is>
      </c>
      <c r="D14" s="108" t="n"/>
      <c r="E14" s="71" t="n"/>
      <c r="F14" s="72" t="inlineStr">
        <is>
          <t>High</t>
        </is>
      </c>
      <c r="G14" s="105" t="inlineStr">
        <is>
          <t>2026-04-03</t>
        </is>
      </c>
      <c r="H14" s="72" t="n"/>
      <c r="I14" s="72" t="n"/>
      <c r="J14" s="109" t="n"/>
      <c r="K14" s="109" t="n"/>
      <c r="L14" s="72" t="inlineStr">
        <is>
          <t>Open</t>
        </is>
      </c>
      <c r="M14" s="71" t="n"/>
      <c r="N14" s="71" t="n"/>
      <c r="O14" s="72" t="inlineStr">
        <is>
          <t>Requirement</t>
        </is>
      </c>
      <c r="P14" s="71" t="inlineStr">
        <is>
          <t>Yêu cầu về Data Field &amp; Form</t>
        </is>
      </c>
      <c r="Q14" s="72" t="inlineStr">
        <is>
          <t>Requirement</t>
        </is>
      </c>
      <c r="R14" s="71" t="inlineStr">
        <is>
          <t>Thu thập file mẫu Import</t>
        </is>
      </c>
      <c r="S14" s="74" t="n"/>
    </row>
    <row r="15" ht="36.75" customFormat="1" customHeight="1" s="47">
      <c r="A15" s="43" t="n">
        <v>2</v>
      </c>
      <c r="B15" s="78" t="inlineStr">
        <is>
          <t>Quản lý Lead &amp; Cơ hội</t>
        </is>
      </c>
      <c r="C15" s="45" t="inlineStr">
        <is>
          <t>Tiêu chí hoặc điều kiện nào để chuyển 1 'Lead' thành 'Cơ hội (Opportunity)'? Về luồng trạng thái (Chờ tiếp nhận -&gt; Đã tiếp xúc -&gt; Đã báo giá -&gt; Won/Lost), có bắt buộc Sales phải nhập dữ liệu gì để được chuyển bước không?</t>
        </is>
      </c>
      <c r="D15" s="108" t="n"/>
      <c r="E15" s="45" t="n"/>
      <c r="F15" s="44" t="n"/>
      <c r="G15" s="110" t="inlineStr">
        <is>
          <t>2026-04-03</t>
        </is>
      </c>
      <c r="H15" s="44" t="n"/>
      <c r="I15" s="44" t="n"/>
      <c r="J15" s="110" t="n"/>
      <c r="K15" s="110" t="n"/>
      <c r="L15" s="67" t="n"/>
      <c r="M15" s="45" t="n"/>
      <c r="N15" s="45" t="n"/>
      <c r="O15" s="44" t="inlineStr">
        <is>
          <t>Process / Rule</t>
        </is>
      </c>
      <c r="P15" s="45" t="inlineStr">
        <is>
          <t>Logic chuyển đổi trạng thái (Status)</t>
        </is>
      </c>
      <c r="Q15" s="44" t="n"/>
      <c r="R15" s="45" t="inlineStr">
        <is>
          <t>Setup Kanban stage</t>
        </is>
      </c>
      <c r="S15" s="46" t="n"/>
    </row>
    <row r="16" ht="36.75" customFormat="1" customHeight="1" s="47">
      <c r="A16" s="43" t="n">
        <v>3</v>
      </c>
      <c r="B16" s="78" t="inlineStr">
        <is>
          <t>Quản lý Lead &amp; Cơ hội</t>
        </is>
      </c>
      <c r="C16" s="45" t="inlineStr">
        <is>
          <t>Quy tắc chức năng 'Phân lead cho salesperson' hiện tại là gì (Quản lý tự gán/Round-robin chia đều/Theo khu vực)? Bên cạnh đó, logic để hệ thống nhận diện và 'Gộp lead trùng' là dựa trên trường thông tin nào (SĐT, Email, hay Tên công ty)?</t>
        </is>
      </c>
      <c r="D16" s="108" t="n"/>
      <c r="E16" s="45" t="n"/>
      <c r="F16" s="44" t="n"/>
      <c r="G16" s="110" t="inlineStr">
        <is>
          <t>2026-04-03</t>
        </is>
      </c>
      <c r="H16" s="44" t="n"/>
      <c r="I16" s="44" t="n"/>
      <c r="J16" s="110" t="n"/>
      <c r="K16" s="110" t="n"/>
      <c r="L16" s="44" t="n"/>
      <c r="M16" s="45" t="n"/>
      <c r="N16" s="45" t="n"/>
      <c r="O16" s="44" t="inlineStr">
        <is>
          <t>Business Rule</t>
        </is>
      </c>
      <c r="P16" s="45" t="inlineStr">
        <is>
          <t>Rule chia Lead &amp; Gộp trùng</t>
        </is>
      </c>
      <c r="Q16" s="44" t="n"/>
      <c r="R16" s="45" t="inlineStr">
        <is>
          <t>Odoo CRM Lead Assignment</t>
        </is>
      </c>
      <c r="S16" s="46" t="n"/>
    </row>
    <row r="17" ht="36.75" customFormat="1" customHeight="1" s="47">
      <c r="A17" s="43" t="n">
        <v>4</v>
      </c>
      <c r="B17" s="78" t="inlineStr">
        <is>
          <t>Quản lý Lead &amp; Cơ hội</t>
        </is>
      </c>
      <c r="C17" s="94" t="inlineStr">
        <is>
          <t>Khi đánh dấu 'Lost opportunity' (Thất bại), có bắt buộc Sales phải chọn Lý do thất bại (Lost Reason) không? Có quy định thời gian tối đa bao nhiêu ngày không có tương tác thì hệ thống tự đánh dấu Lead đó là Cần chăm sóc hoặc tự đóng lại không?</t>
        </is>
      </c>
      <c r="D17" s="95" t="n"/>
      <c r="E17" s="45" t="n"/>
      <c r="F17" s="44" t="n"/>
      <c r="G17" s="110" t="inlineStr">
        <is>
          <t>2026-04-03</t>
        </is>
      </c>
      <c r="H17" s="44" t="n"/>
      <c r="I17" s="44" t="n"/>
      <c r="J17" s="110" t="n"/>
      <c r="K17" s="110" t="n"/>
      <c r="L17" s="44" t="n"/>
      <c r="M17" s="45" t="n"/>
      <c r="N17" s="45" t="n"/>
      <c r="O17" s="44" t="inlineStr">
        <is>
          <t>Business Rule</t>
        </is>
      </c>
      <c r="P17" s="45" t="inlineStr">
        <is>
          <t>Rule kết thúc (Won/Lost)</t>
        </is>
      </c>
      <c r="Q17" s="44" t="n"/>
      <c r="R17" s="45" t="inlineStr"/>
      <c r="S17" s="46" t="n"/>
    </row>
    <row r="18" ht="36.75" customFormat="1" customHeight="1" s="47">
      <c r="A18" s="43" t="n">
        <v>5</v>
      </c>
      <c r="B18" s="78" t="inlineStr">
        <is>
          <t>Quản lý Khách hàng</t>
        </is>
      </c>
      <c r="C18" s="45" t="inlineStr">
        <is>
          <t>Với hồ sơ Khách hàng (sau khi chốt/đăng ký), anh/chị cần lưu trữ các trường dữ liệu nào (Mã số thuế, Phân hạng KH, Hạn mức công nợ...)? Nhờ anh chị chia sẻ file Master Data Quản lý danh sách khách hàng đang có để team mapping các trường dữ liệu.</t>
        </is>
      </c>
      <c r="D18" s="108" t="n"/>
      <c r="E18" s="45" t="n"/>
      <c r="F18" s="44" t="n"/>
      <c r="G18" s="110" t="inlineStr">
        <is>
          <t>2026-04-03</t>
        </is>
      </c>
      <c r="H18" s="44" t="n"/>
      <c r="I18" s="44" t="n"/>
      <c r="J18" s="110" t="n"/>
      <c r="K18" s="110" t="n"/>
      <c r="L18" s="44" t="n"/>
      <c r="M18" s="45" t="n"/>
      <c r="N18" s="45" t="n"/>
      <c r="O18" s="44" t="inlineStr">
        <is>
          <t>Requirement</t>
        </is>
      </c>
      <c r="P18" s="45" t="inlineStr">
        <is>
          <t>Yêu cầu về Data Field &amp; Form</t>
        </is>
      </c>
      <c r="Q18" s="44" t="n"/>
      <c r="R18" s="45" t="inlineStr">
        <is>
          <t>Chuẩn bị cho mẫu Xuất dữ liệu</t>
        </is>
      </c>
      <c r="S18" s="46" t="n"/>
    </row>
    <row r="19">
      <c r="A19" t="n">
        <v>6</v>
      </c>
      <c r="B19" t="inlineStr">
        <is>
          <t>Quản lý Khách hàng</t>
        </is>
      </c>
      <c r="C19" t="inlineStr">
        <is>
          <t>Chức năng 'Check trùng' khi thêm mới hồ sơ khách hàng sẽ cảnh báo dựa vào đâu (SĐT người đại diện hay Mã số thuế)? Khi phát hiện trùng, hệ thống có chặn cấm không tạo hay chỉ hiển thị cảnh báo?</t>
        </is>
      </c>
      <c r="G19" t="inlineStr">
        <is>
          <t>2026-04-03</t>
        </is>
      </c>
      <c r="O19" t="inlineStr">
        <is>
          <t>Business Rule</t>
        </is>
      </c>
      <c r="P19" t="inlineStr">
        <is>
          <t>Rule hệ thống: Check trùng &amp; Cảnh báo</t>
        </is>
      </c>
      <c r="R19" t="inlineStr">
        <is>
          <t>Quan trọng cho Data validation</t>
        </is>
      </c>
    </row>
    <row r="20">
      <c r="A20" t="n">
        <v>7</v>
      </c>
      <c r="B20" t="inlineStr">
        <is>
          <t>Quản lý Khách hàng</t>
        </is>
      </c>
      <c r="C20" t="inlineStr">
        <is>
          <t>Về chức năng 'Chia Khách hàng thủ công' và 'Xem danh sách': Quy tắc phân quyền dữ liệu đang diễn ra như thế nào? (Ví dụ: Sales nào chỉ được nhìn thấy Khách hàng của người đó, hay tất cả đều được xem để tránh tư vấn trùng)?</t>
        </is>
      </c>
      <c r="G20" t="inlineStr">
        <is>
          <t>2026-04-03</t>
        </is>
      </c>
      <c r="O20" t="inlineStr">
        <is>
          <t>Business Rule</t>
        </is>
      </c>
      <c r="P20" t="inlineStr">
        <is>
          <t>Quyền hiển thị &amp; Phân bổ</t>
        </is>
      </c>
      <c r="R20" t="inlineStr">
        <is>
          <t>Odoo Record Rules</t>
        </is>
      </c>
    </row>
    <row r="21">
      <c r="A21" t="n">
        <v>8</v>
      </c>
      <c r="B21" t="inlineStr">
        <is>
          <t>Quản lý Liên hệ</t>
        </is>
      </c>
      <c r="C21" t="inlineStr">
        <is>
          <t>Một đối tác/khách hàng doanh nghiệp sẽ có nhiều người liên hệ khác nhau. Form 'Tạo mới liên hệ' cần thu thập thông tin gì (Chức vụ, Vai trò quyết định, Sở thích)? Xin file lưu trữ bộ danh bạ liên hệ hiện tại.</t>
        </is>
      </c>
      <c r="G21" t="inlineStr">
        <is>
          <t>2026-04-03</t>
        </is>
      </c>
      <c r="O21" t="inlineStr">
        <is>
          <t>Requirement</t>
        </is>
      </c>
      <c r="P21" t="inlineStr">
        <is>
          <t>Yêu cầu dữ liệu Contact</t>
        </is>
      </c>
      <c r="R21" t="inlineStr"/>
    </row>
    <row r="22">
      <c r="A22" t="n">
        <v>9</v>
      </c>
      <c r="B22" t="inlineStr">
        <is>
          <t>Quản lý Liên hệ</t>
        </is>
      </c>
      <c r="C22" t="inlineStr">
        <is>
          <t>Với chức năng 'Xóa liên hệ/Xóa khách hàng': Nếu liên hệ/khách hàng này đã từng phát sinh Lịch sử chăm sóc (Log note), Báo giá hoặc Đơn hàng trong quá khứ thì rule của anh/chị có cho phép Xóa bỏ hoàn toàn không, hay đổi sang trạng thái Ngừng hoạt động?</t>
        </is>
      </c>
      <c r="G22" t="inlineStr">
        <is>
          <t>2026-04-03</t>
        </is>
      </c>
      <c r="O22" t="inlineStr">
        <is>
          <t>Business Rule</t>
        </is>
      </c>
      <c r="P22" t="inlineStr">
        <is>
          <t>Ràng buộc Thao tác &amp; Xóa</t>
        </is>
      </c>
      <c r="R22" t="inlineStr">
        <is>
          <t>Odoo mặc định không cho xóa bản ghi có liên kết</t>
        </is>
      </c>
    </row>
  </sheetData>
  <mergeCells count="4">
    <mergeCell ref="C15:D15"/>
    <mergeCell ref="C14:D14"/>
    <mergeCell ref="C16:D16"/>
    <mergeCell ref="C18:D18"/>
  </mergeCells>
  <conditionalFormatting sqref="A14:C14 C16:C17 E14:F14 E15:IX18 H14:IX14">
    <cfRule type="expression" priority="52" dxfId="2" stopIfTrue="1">
      <formula>($L14="In Progress")</formula>
    </cfRule>
    <cfRule type="expression" priority="53" dxfId="1" stopIfTrue="1">
      <formula>($L14="Closed")</formula>
    </cfRule>
    <cfRule type="expression" priority="54" dxfId="0" stopIfTrue="1">
      <formula>($L14="Cancelled")</formula>
    </cfRule>
  </conditionalFormatting>
  <conditionalFormatting sqref="A15:C15">
    <cfRule type="expression" priority="49" dxfId="2" stopIfTrue="1">
      <formula>($L15="In Progress")</formula>
    </cfRule>
    <cfRule type="expression" priority="50" dxfId="1" stopIfTrue="1">
      <formula>($L15="Closed")</formula>
    </cfRule>
    <cfRule type="expression" priority="51" dxfId="0" stopIfTrue="1">
      <formula>($L15="Cancelled")</formula>
    </cfRule>
  </conditionalFormatting>
  <conditionalFormatting sqref="C15:C17">
    <cfRule type="expression" priority="46" dxfId="2" stopIfTrue="1">
      <formula>($L15="In Progress")</formula>
    </cfRule>
    <cfRule type="expression" priority="47" dxfId="1" stopIfTrue="1">
      <formula>($L15="Closed")</formula>
    </cfRule>
    <cfRule type="expression" priority="48" dxfId="0" stopIfTrue="1">
      <formula>($L15="Cancelled")</formula>
    </cfRule>
  </conditionalFormatting>
  <conditionalFormatting sqref="A16:C17">
    <cfRule type="expression" priority="43" dxfId="2" stopIfTrue="1">
      <formula>($L16="In Progress")</formula>
    </cfRule>
    <cfRule type="expression" priority="44" dxfId="1" stopIfTrue="1">
      <formula>($L16="Closed")</formula>
    </cfRule>
    <cfRule type="expression" priority="45" dxfId="0" stopIfTrue="1">
      <formula>($L16="Cancelled")</formula>
    </cfRule>
  </conditionalFormatting>
  <conditionalFormatting sqref="C16:C17">
    <cfRule type="expression" priority="40" dxfId="2" stopIfTrue="1">
      <formula>($L16="In Progress")</formula>
    </cfRule>
    <cfRule type="expression" priority="41" dxfId="1" stopIfTrue="1">
      <formula>($L16="Closed")</formula>
    </cfRule>
    <cfRule type="expression" priority="42" dxfId="0" stopIfTrue="1">
      <formula>($L16="Cancelled")</formula>
    </cfRule>
    <cfRule type="expression" priority="37" dxfId="2" stopIfTrue="1">
      <formula>($L16="In Progress")</formula>
    </cfRule>
    <cfRule type="expression" priority="38" dxfId="1" stopIfTrue="1">
      <formula>($L16="Closed")</formula>
    </cfRule>
    <cfRule type="expression" priority="39" dxfId="0" stopIfTrue="1">
      <formula>($L16="Cancelled")</formula>
    </cfRule>
  </conditionalFormatting>
  <conditionalFormatting sqref="A18:C18">
    <cfRule type="expression" priority="34" dxfId="2" stopIfTrue="1">
      <formula>($L18="In Progress")</formula>
    </cfRule>
    <cfRule type="expression" priority="35" dxfId="1" stopIfTrue="1">
      <formula>($L18="Closed")</formula>
    </cfRule>
    <cfRule type="expression" priority="36" dxfId="0" stopIfTrue="1">
      <formula>($L18="Cancelled")</formula>
    </cfRule>
  </conditionalFormatting>
  <conditionalFormatting sqref="C18">
    <cfRule type="expression" priority="31" dxfId="2" stopIfTrue="1">
      <formula>($L18="In Progress")</formula>
    </cfRule>
    <cfRule type="expression" priority="32" dxfId="1" stopIfTrue="1">
      <formula>($L18="Closed")</formula>
    </cfRule>
    <cfRule type="expression" priority="33" dxfId="0" stopIfTrue="1">
      <formula>($L18="Cancelled")</formula>
    </cfRule>
    <cfRule type="expression" priority="28" dxfId="2" stopIfTrue="1">
      <formula>($L18="In Progress")</formula>
    </cfRule>
    <cfRule type="expression" priority="29" dxfId="1" stopIfTrue="1">
      <formula>($L18="Closed")</formula>
    </cfRule>
    <cfRule type="expression" priority="30" dxfId="0" stopIfTrue="1">
      <formula>($L18="Cancelled")</formula>
    </cfRule>
  </conditionalFormatting>
  <conditionalFormatting sqref="J15">
    <cfRule type="expression" priority="25" dxfId="2" stopIfTrue="1">
      <formula>($L15="In Progress")</formula>
    </cfRule>
    <cfRule type="expression" priority="26" dxfId="1" stopIfTrue="1">
      <formula>($L15="Closed")</formula>
    </cfRule>
    <cfRule type="expression" priority="27" dxfId="0" stopIfTrue="1">
      <formula>($L15="Cancelled")</formula>
    </cfRule>
  </conditionalFormatting>
  <conditionalFormatting sqref="J16:J17">
    <cfRule type="expression" priority="22" dxfId="2" stopIfTrue="1">
      <formula>($L16="In Progress")</formula>
    </cfRule>
    <cfRule type="expression" priority="23" dxfId="1" stopIfTrue="1">
      <formula>($L16="Closed")</formula>
    </cfRule>
    <cfRule type="expression" priority="24" dxfId="0" stopIfTrue="1">
      <formula>($L16="Cancelled")</formula>
    </cfRule>
  </conditionalFormatting>
  <conditionalFormatting sqref="J18">
    <cfRule type="expression" priority="19" dxfId="2" stopIfTrue="1">
      <formula>($L18="In Progress")</formula>
    </cfRule>
    <cfRule type="expression" priority="20" dxfId="1" stopIfTrue="1">
      <formula>($L18="Closed")</formula>
    </cfRule>
    <cfRule type="expression" priority="21" dxfId="0" stopIfTrue="1">
      <formula>($L18="Cancelled")</formula>
    </cfRule>
  </conditionalFormatting>
  <conditionalFormatting sqref="K15">
    <cfRule type="expression" priority="16" dxfId="2" stopIfTrue="1">
      <formula>($L15="In Progress")</formula>
    </cfRule>
    <cfRule type="expression" priority="17" dxfId="1" stopIfTrue="1">
      <formula>($L15="Closed")</formula>
    </cfRule>
    <cfRule type="expression" priority="18" dxfId="0" stopIfTrue="1">
      <formula>($L15="Cancelled")</formula>
    </cfRule>
    <cfRule type="expression" priority="13" dxfId="2" stopIfTrue="1">
      <formula>($L15="In Progress")</formula>
    </cfRule>
    <cfRule type="expression" priority="14" dxfId="1" stopIfTrue="1">
      <formula>($L15="Closed")</formula>
    </cfRule>
    <cfRule type="expression" priority="15" dxfId="0" stopIfTrue="1">
      <formula>($L15="Cancelled")</formula>
    </cfRule>
  </conditionalFormatting>
  <conditionalFormatting sqref="K16:K17">
    <cfRule type="expression" priority="10" dxfId="2" stopIfTrue="1">
      <formula>($L16="In Progress")</formula>
    </cfRule>
    <cfRule type="expression" priority="11" dxfId="1" stopIfTrue="1">
      <formula>($L16="Closed")</formula>
    </cfRule>
    <cfRule type="expression" priority="12" dxfId="0" stopIfTrue="1">
      <formula>($L16="Cancelled")</formula>
    </cfRule>
    <cfRule type="expression" priority="7" dxfId="2" stopIfTrue="1">
      <formula>($L16="In Progress")</formula>
    </cfRule>
    <cfRule type="expression" priority="8" dxfId="1" stopIfTrue="1">
      <formula>($L16="Closed")</formula>
    </cfRule>
    <cfRule type="expression" priority="9" dxfId="0" stopIfTrue="1">
      <formula>($L16="Cancelled")</formula>
    </cfRule>
  </conditionalFormatting>
  <conditionalFormatting sqref="K18">
    <cfRule type="expression" priority="4" dxfId="2" stopIfTrue="1">
      <formula>($L18="In Progress")</formula>
    </cfRule>
    <cfRule type="expression" priority="5" dxfId="1" stopIfTrue="1">
      <formula>($L18="Closed")</formula>
    </cfRule>
    <cfRule type="expression" priority="6" dxfId="0" stopIfTrue="1">
      <formula>($L18="Cancelled")</formula>
    </cfRule>
    <cfRule type="expression" priority="1" dxfId="2" stopIfTrue="1">
      <formula>($L18="In Progress")</formula>
    </cfRule>
    <cfRule type="expression" priority="2" dxfId="1" stopIfTrue="1">
      <formula>($L18="Closed")</formula>
    </cfRule>
    <cfRule type="expression" priority="3" dxfId="0" stopIfTrue="1">
      <formula>($L18="Cancelled")</formula>
    </cfRule>
  </conditionalFormatting>
  <dataValidations count="4">
    <dataValidation sqref="L14:L18" showDropDown="0" showInputMessage="1" showErrorMessage="1" allowBlank="1" type="list">
      <formula1>"Open,In progress,Closed,Cancelled"</formula1>
    </dataValidation>
    <dataValidation sqref="O14:O18" showDropDown="0" showInputMessage="1" showErrorMessage="1" allowBlank="1" type="list">
      <formula1>"Clarification,Confirmation,Customer Defect"</formula1>
    </dataValidation>
    <dataValidation sqref="Q14:Q18" showDropDown="0" showInputMessage="1" showErrorMessage="1" allowBlank="1" type="list">
      <formula1>"Requirement,Design,Coding,Deployment,Test,Project management"</formula1>
    </dataValidation>
    <dataValidation sqref="F14:F18" showDropDown="0" showInputMessage="1" showErrorMessage="1" allowBlank="1" type="list">
      <formula1>"High,Medium,Low"</formula1>
    </dataValidation>
  </dataValidations>
  <pageMargins left="0.17" right="0.17" top="0.3" bottom="0.34" header="0.17" footer="0.17"/>
  <pageSetup orientation="landscape" scale="59"/>
  <headerFooter alignWithMargins="0">
    <oddHeader/>
    <oddFooter>&amp;L49e-BM/PM/HDCV/FSOFT v2/1&amp;CInternal use&amp;R&amp;P/&amp;N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Thuy Dang</dc:creator>
  <dc:title>QA Management sheet</dc:title>
  <dc:description>- Sheet Guideline: Update guideline follow the change of Template_x000d_
- Sheet Q&amp;A Management Sheet: Move Answer column to the next of Question column, re-arrange other column_x000d_
- Reset page</dc:description>
  <dcterms:created xsi:type="dcterms:W3CDTF">1996-10-14T23:33:28Z</dcterms:created>
  <dcterms:modified xsi:type="dcterms:W3CDTF">2026-04-03T01:53:25Z</dcterms:modified>
  <cp:lastModifiedBy>Nguyen Vu Hung (DTL.BA)</cp:lastModifiedBy>
  <cp:category>Template</cp:category>
  <cp:lastPrinted>2010-04-01T19:43:25Z</cp:lastPrinted>
</cp:coreProperties>
</file>

<file path=docProps/custom.xml><?xml version="1.0" encoding="utf-8"?>
<Properties xmlns:vt="http://schemas.openxmlformats.org/officeDocument/2006/docPropsVTypes" xmlns="http://schemas.openxmlformats.org/officeDocument/2006/custom-properties">
  <property name="Priority" fmtid="{D5CDD505-2E9C-101B-9397-08002B2CF9AE}" pid="2">
    <vt:lpwstr/>
  </property>
  <property name="ContentType" fmtid="{D5CDD505-2E9C-101B-9397-08002B2CF9AE}" pid="3">
    <vt:lpwstr>Document</vt:lpwstr>
  </property>
  <property name="ContentTypeId" fmtid="{D5CDD505-2E9C-101B-9397-08002B2CF9AE}" pid="4">
    <vt:lpwstr>0x010100DB9C9A6E0697EB4EAE3D8E67B35E0A4B</vt:lpwstr>
  </property>
</Properties>
</file>